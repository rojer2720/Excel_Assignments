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ata Analytics\Assignment\Excel\"/>
    </mc:Choice>
  </mc:AlternateContent>
  <xr:revisionPtr revIDLastSave="0" documentId="8_{263C4429-AB0F-47D5-868A-CB8EE4AE72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N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N25" i="2"/>
  <c r="N23" i="2"/>
  <c r="N15" i="2"/>
  <c r="N13" i="2"/>
  <c r="N9" i="2"/>
  <c r="N7" i="2"/>
</calcChain>
</file>

<file path=xl/sharedStrings.xml><?xml version="1.0" encoding="utf-8"?>
<sst xmlns="http://schemas.openxmlformats.org/spreadsheetml/2006/main" count="192" uniqueCount="138">
  <si>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</si>
  <si>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</si>
  <si>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</si>
  <si>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</si>
  <si>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</si>
  <si>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</si>
  <si>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</si>
  <si>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</si>
  <si>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</si>
  <si>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</si>
  <si>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</si>
  <si>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</si>
  <si>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</si>
  <si>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</si>
  <si>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</si>
  <si>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</si>
  <si>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</si>
  <si>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</si>
  <si>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</si>
  <si>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</si>
  <si>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</si>
  <si>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</si>
  <si>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</si>
  <si>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</si>
  <si>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</si>
  <si>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</si>
  <si>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</si>
  <si>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</si>
  <si>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</si>
  <si>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</si>
  <si>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</si>
  <si>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</si>
  <si>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</si>
  <si>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</si>
  <si>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</si>
  <si>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</si>
  <si>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</si>
  <si>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</si>
  <si>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</si>
  <si>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</si>
  <si>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</si>
  <si>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</si>
  <si>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</si>
  <si>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</si>
  <si>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</si>
  <si>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</si>
  <si>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</si>
  <si>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</si>
  <si>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</si>
  <si>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</si>
  <si>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</si>
  <si>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</si>
  <si>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</si>
  <si>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</si>
  <si>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</si>
  <si>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</si>
  <si>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</si>
  <si>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</si>
  <si>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</si>
  <si>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</si>
  <si>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</si>
  <si>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</si>
  <si>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</si>
  <si>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</si>
  <si>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</si>
  <si>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</si>
  <si>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</si>
  <si>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</si>
  <si>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</si>
  <si>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</si>
  <si>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</si>
  <si>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</si>
  <si>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</si>
  <si>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</si>
  <si>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</si>
  <si>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</si>
  <si>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</si>
  <si>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</si>
  <si>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</si>
  <si>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</si>
  <si>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</si>
  <si>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</si>
  <si>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</si>
  <si>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</si>
  <si>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</si>
  <si>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</si>
  <si>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</si>
  <si>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</si>
  <si>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</si>
  <si>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</si>
  <si>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</si>
  <si>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</si>
  <si>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</si>
  <si>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</si>
  <si>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</si>
  <si>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</si>
  <si>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</si>
  <si>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</si>
  <si>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</si>
  <si>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</si>
  <si>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</si>
  <si>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</si>
  <si>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</si>
  <si>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</si>
  <si>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</si>
  <si>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</si>
  <si>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</si>
  <si>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</si>
  <si>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</si>
  <si>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</si>
  <si>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    • What is the total price of all products in the dataset?</t>
  </si>
  <si>
    <t xml:space="preserve">     • How many products are there in the dataset?</t>
  </si>
  <si>
    <t xml:space="preserve">     • Calculate the average price of the products.</t>
  </si>
  <si>
    <t xml:space="preserve">     • Determine the minimum price among all products.</t>
  </si>
  <si>
    <t>MIN</t>
  </si>
  <si>
    <t xml:space="preserve">     • Find the maximum price among all products.</t>
  </si>
  <si>
    <t>MAX</t>
  </si>
  <si>
    <t>Price Range</t>
  </si>
  <si>
    <t xml:space="preserve">     • Using an IF function, create a new column named Price Range to categorize products with a price greater than or equal to $500 as 'High Price' and others as 'Standard Price'.</t>
  </si>
  <si>
    <t xml:space="preserve">     • Calculate the total price for products in the 'Electronics' category using the SUMIF function.</t>
  </si>
  <si>
    <t>SUMIF</t>
  </si>
  <si>
    <t xml:space="preserve">     • Determine the count of products with a price less than $100 using the COUNTIF function.</t>
  </si>
  <si>
    <t>COUNTIF</t>
  </si>
  <si>
    <t xml:space="preserve">     • Create a new column named Day with the first 2 characters of each 'Product ID' using the LEFT function.</t>
  </si>
  <si>
    <t>Day</t>
  </si>
  <si>
    <t xml:space="preserve">     • Create a new column named Country Code by extracting the last 2 characters from the 'Product ID' column using the RIGHT function.</t>
  </si>
  <si>
    <t>Country Code</t>
  </si>
  <si>
    <t>Month</t>
  </si>
  <si>
    <t>ANSWERS</t>
  </si>
  <si>
    <t>SUM</t>
  </si>
  <si>
    <t>COUNT</t>
  </si>
  <si>
    <t>AVERAGE</t>
  </si>
  <si>
    <t xml:space="preserve">   </t>
  </si>
  <si>
    <t xml:space="preserve">I created "Day" in Column H    </t>
  </si>
  <si>
    <t xml:space="preserve">     • Create a new column named Month by extracting 4th to 6th characters from the 'Product ID' column using the MID function.</t>
  </si>
  <si>
    <t xml:space="preserve">I created "Month" in Column J   </t>
  </si>
  <si>
    <t xml:space="preserve">  I created "Price Range" in Column G    </t>
  </si>
  <si>
    <t xml:space="preserve">               I created "Country Code" in Column I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</si>
</sst>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ajor"/>
    </font>
    <font>
      <b/>
      <sz val="12"/>
      <color rgb="FF000000"/>
      <name val="Montserrat SemiBold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Montserrat SemiBold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4DD0E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11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E1" zoomScaleNormal="100" workbookViewId="0">
      <selection activeCell="L37" sqref="L37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4.109375" bestFit="1" customWidth="1"/>
  </cols>
  <sheetData>
    <row r="1" spans="1:15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117</v>
      </c>
      <c r="H1" s="16" t="s">
        <v>124</v>
      </c>
      <c r="I1" s="16" t="s">
        <v>126</v>
      </c>
      <c r="J1" s="17" t="s">
        <v>127</v>
      </c>
    </row>
    <row r="2" spans="1:15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4" t="str">
        <f>IF(D2&gt;500,"Higher Price","Standard Price")</f>
        <v>Higher Price</v>
      </c>
      <c r="H2" s="14" t="str">
        <f>LEFT(A2,2)</f>
        <v>28</v>
      </c>
      <c r="I2" s="14" t="str">
        <f>RIGHT(A2,2)</f>
        <v>US</v>
      </c>
      <c r="J2" s="15" t="str">
        <f>+MID(A2,4,3)</f>
        <v>JAN</v>
      </c>
      <c r="L2" t="s">
        <v>128</v>
      </c>
    </row>
    <row r="3" spans="1:15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2" t="str">
        <f t="shared" ref="G3:G35" si="0">IF(D3&gt;500,"Higher Price","Standard Price")</f>
        <v>Standard Price</v>
      </c>
      <c r="H3" s="12" t="str">
        <f t="shared" ref="H3:H35" si="1">LEFT(A3,2)</f>
        <v>15</v>
      </c>
      <c r="I3" s="12" t="str">
        <f t="shared" ref="I3:I35" si="2">RIGHT(A3,2)</f>
        <v>US</v>
      </c>
      <c r="J3" s="13" t="str">
        <f t="shared" ref="J3:J35" si="3">+MID(A3,4,3)</f>
        <v>FEB</v>
      </c>
      <c r="L3" s="8" t="s">
        <v>1</v>
      </c>
    </row>
    <row r="4" spans="1:15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4" t="str">
        <f t="shared" si="0"/>
        <v>Standard Price</v>
      </c>
      <c r="H4" s="14" t="str">
        <f t="shared" si="1"/>
        <v>03</v>
      </c>
      <c r="I4" s="14" t="str">
        <f t="shared" si="2"/>
        <v>US</v>
      </c>
      <c r="J4" s="15" t="str">
        <f t="shared" si="3"/>
        <v>MAR</v>
      </c>
      <c r="L4" t="s">
        <v>110</v>
      </c>
    </row>
    <row r="5" spans="1:15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2" t="str">
        <f t="shared" si="0"/>
        <v>Higher Price</v>
      </c>
      <c r="H5" s="12" t="str">
        <f t="shared" si="1"/>
        <v>11</v>
      </c>
      <c r="I5" s="12" t="str">
        <f t="shared" si="2"/>
        <v>US</v>
      </c>
      <c r="J5" s="13" t="str">
        <f t="shared" si="3"/>
        <v>APR</v>
      </c>
      <c r="M5" s="18" t="s">
        <v>129</v>
      </c>
      <c r="N5" s="18">
        <f>SUM(D1:D35)</f>
        <v>10100</v>
      </c>
      <c r="O5" s="9"/>
    </row>
    <row r="6" spans="1:15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4" t="str">
        <f t="shared" si="0"/>
        <v>Standard Price</v>
      </c>
      <c r="H6" s="14" t="str">
        <f t="shared" si="1"/>
        <v>22</v>
      </c>
      <c r="I6" s="14" t="str">
        <f t="shared" si="2"/>
        <v>US</v>
      </c>
      <c r="J6" s="15" t="str">
        <f t="shared" si="3"/>
        <v>MAY</v>
      </c>
      <c r="L6" t="s">
        <v>111</v>
      </c>
    </row>
    <row r="7" spans="1:15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2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s="13" t="str">
        <f t="shared" si="3"/>
        <v>JUN</v>
      </c>
      <c r="M7" s="18" t="s">
        <v>130</v>
      </c>
      <c r="N7" s="18">
        <f>COUNTA(_xlfn.UNIQUE(B2:B35))</f>
        <v>21</v>
      </c>
    </row>
    <row r="8" spans="1:15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4" t="str">
        <f t="shared" si="0"/>
        <v>Standard Price</v>
      </c>
      <c r="H8" s="14" t="str">
        <f t="shared" si="1"/>
        <v>19</v>
      </c>
      <c r="I8" s="14" t="str">
        <f t="shared" si="2"/>
        <v>UK</v>
      </c>
      <c r="J8" s="15" t="str">
        <f t="shared" si="3"/>
        <v>JUL</v>
      </c>
      <c r="L8" t="s">
        <v>112</v>
      </c>
    </row>
    <row r="9" spans="1:15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2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s="13" t="str">
        <f t="shared" si="3"/>
        <v>AUG</v>
      </c>
      <c r="M9" s="18" t="s">
        <v>131</v>
      </c>
      <c r="N9" s="18">
        <f>AVERAGE(D2:D35)</f>
        <v>297.05882352941177</v>
      </c>
    </row>
    <row r="10" spans="1:15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4" t="str">
        <f t="shared" si="0"/>
        <v>Standard Price</v>
      </c>
      <c r="H10" s="14" t="str">
        <f t="shared" si="1"/>
        <v>05</v>
      </c>
      <c r="I10" s="14" t="str">
        <f t="shared" si="2"/>
        <v>UK</v>
      </c>
      <c r="J10" s="15" t="str">
        <f t="shared" si="3"/>
        <v>SEP</v>
      </c>
    </row>
    <row r="11" spans="1:15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2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s="13" t="str">
        <f t="shared" si="3"/>
        <v>OCT</v>
      </c>
      <c r="L11" s="8" t="s">
        <v>5</v>
      </c>
    </row>
    <row r="12" spans="1:15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4" t="str">
        <f t="shared" si="0"/>
        <v>Higher Price</v>
      </c>
      <c r="H12" s="14" t="str">
        <f t="shared" si="1"/>
        <v>17</v>
      </c>
      <c r="I12" s="14" t="str">
        <f t="shared" si="2"/>
        <v>IN</v>
      </c>
      <c r="J12" s="15" t="str">
        <f t="shared" si="3"/>
        <v>JUN</v>
      </c>
      <c r="L12" t="s">
        <v>113</v>
      </c>
    </row>
    <row r="13" spans="1:15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2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s="13" t="str">
        <f t="shared" si="3"/>
        <v>NOV</v>
      </c>
      <c r="M13" s="18" t="s">
        <v>114</v>
      </c>
      <c r="N13" s="18">
        <f>MIN(D2:D35)</f>
        <v>30</v>
      </c>
    </row>
    <row r="14" spans="1:15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4" t="str">
        <f t="shared" si="0"/>
        <v>Standard Price</v>
      </c>
      <c r="H14" s="14" t="str">
        <f t="shared" si="1"/>
        <v>08</v>
      </c>
      <c r="I14" s="14" t="str">
        <f t="shared" si="2"/>
        <v>DE</v>
      </c>
      <c r="J14" s="15" t="str">
        <f t="shared" si="3"/>
        <v>DEC</v>
      </c>
      <c r="L14" t="s">
        <v>115</v>
      </c>
    </row>
    <row r="15" spans="1:15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2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s="13" t="str">
        <f t="shared" si="3"/>
        <v>FEB</v>
      </c>
      <c r="M15" s="18" t="s">
        <v>116</v>
      </c>
      <c r="N15" s="18">
        <f>MAX(D2:D35)</f>
        <v>1000</v>
      </c>
    </row>
    <row r="16" spans="1:15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4" t="str">
        <f t="shared" si="0"/>
        <v>Standard Price</v>
      </c>
      <c r="H16" s="14" t="str">
        <f t="shared" si="1"/>
        <v>16</v>
      </c>
      <c r="I16" s="14" t="str">
        <f t="shared" si="2"/>
        <v>ES</v>
      </c>
      <c r="J16" s="15" t="str">
        <f t="shared" si="3"/>
        <v>APR</v>
      </c>
    </row>
    <row r="17" spans="1:16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2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s="13" t="str">
        <f t="shared" si="3"/>
        <v>AUG</v>
      </c>
      <c r="L17" s="8" t="s">
        <v>8</v>
      </c>
    </row>
    <row r="18" spans="1:16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4" t="str">
        <f t="shared" si="0"/>
        <v>Standard Price</v>
      </c>
      <c r="H18" s="14" t="str">
        <f t="shared" si="1"/>
        <v>20</v>
      </c>
      <c r="I18" s="14" t="str">
        <f t="shared" si="2"/>
        <v>CN</v>
      </c>
      <c r="J18" s="15" t="str">
        <f t="shared" si="3"/>
        <v>AUG</v>
      </c>
      <c r="L18" t="s">
        <v>118</v>
      </c>
    </row>
    <row r="19" spans="1:1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2" t="str">
        <f t="shared" si="0"/>
        <v>Higher Price</v>
      </c>
      <c r="H19" s="12" t="str">
        <f t="shared" si="1"/>
        <v>27</v>
      </c>
      <c r="I19" s="12" t="str">
        <f t="shared" si="2"/>
        <v>IT</v>
      </c>
      <c r="J19" s="13" t="str">
        <f t="shared" si="3"/>
        <v>JAN</v>
      </c>
      <c r="M19" s="19"/>
      <c r="N19" s="20" t="s">
        <v>136</v>
      </c>
      <c r="O19" s="21"/>
    </row>
    <row r="20" spans="1:1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4" t="str">
        <f t="shared" si="0"/>
        <v>Standard Price</v>
      </c>
      <c r="H20" s="14" t="str">
        <f t="shared" si="1"/>
        <v>01</v>
      </c>
      <c r="I20" s="14" t="str">
        <f t="shared" si="2"/>
        <v>UK</v>
      </c>
      <c r="J20" s="15" t="str">
        <f t="shared" si="3"/>
        <v>MAR</v>
      </c>
    </row>
    <row r="21" spans="1:16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2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s="13" t="str">
        <f t="shared" si="3"/>
        <v>AUG</v>
      </c>
      <c r="L21" s="8" t="s">
        <v>10</v>
      </c>
    </row>
    <row r="22" spans="1:1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4" t="str">
        <f t="shared" si="0"/>
        <v>Higher Price</v>
      </c>
      <c r="H22" s="14" t="str">
        <f t="shared" si="1"/>
        <v>14</v>
      </c>
      <c r="I22" s="14" t="str">
        <f t="shared" si="2"/>
        <v>RU</v>
      </c>
      <c r="J22" s="15" t="str">
        <f t="shared" si="3"/>
        <v>MAY</v>
      </c>
      <c r="L22" t="s">
        <v>119</v>
      </c>
    </row>
    <row r="23" spans="1:1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2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s="13" t="str">
        <f t="shared" si="3"/>
        <v>JAN</v>
      </c>
      <c r="L23" s="9"/>
      <c r="M23" s="18" t="s">
        <v>120</v>
      </c>
      <c r="N23" s="18">
        <f>SUMIF(F2:F35,"Electronics",D2:D35)</f>
        <v>8050</v>
      </c>
    </row>
    <row r="24" spans="1:1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4" t="str">
        <f t="shared" si="0"/>
        <v>Standard Price</v>
      </c>
      <c r="H24" s="14" t="str">
        <f t="shared" si="1"/>
        <v>19</v>
      </c>
      <c r="I24" s="14" t="str">
        <f t="shared" si="2"/>
        <v>BR</v>
      </c>
      <c r="J24" s="15" t="str">
        <f t="shared" si="3"/>
        <v>JUL</v>
      </c>
      <c r="L24" t="s">
        <v>121</v>
      </c>
    </row>
    <row r="25" spans="1:1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2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s="13" t="str">
        <f t="shared" si="3"/>
        <v>AUG</v>
      </c>
      <c r="M25" s="18" t="s">
        <v>122</v>
      </c>
      <c r="N25" s="18">
        <f>COUNTIF(E2:E35,"&lt;100")</f>
        <v>34</v>
      </c>
    </row>
    <row r="26" spans="1:1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4" t="str">
        <f t="shared" si="0"/>
        <v>Higher Price</v>
      </c>
      <c r="H26" s="14" t="str">
        <f t="shared" si="1"/>
        <v>29</v>
      </c>
      <c r="I26" s="14" t="str">
        <f t="shared" si="2"/>
        <v>CA</v>
      </c>
      <c r="J26" s="15" t="str">
        <f t="shared" si="3"/>
        <v>SEP</v>
      </c>
    </row>
    <row r="27" spans="1:16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2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s="13" t="str">
        <f t="shared" si="3"/>
        <v>JUN</v>
      </c>
      <c r="L27" s="8" t="s">
        <v>13</v>
      </c>
    </row>
    <row r="28" spans="1:16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4" t="str">
        <f t="shared" si="0"/>
        <v>Standard Price</v>
      </c>
      <c r="H28" s="14" t="str">
        <f t="shared" si="1"/>
        <v>11</v>
      </c>
      <c r="I28" s="14" t="str">
        <f t="shared" si="2"/>
        <v>CA</v>
      </c>
      <c r="J28" s="15" t="str">
        <f t="shared" si="3"/>
        <v>JUL</v>
      </c>
      <c r="L28" t="s">
        <v>123</v>
      </c>
    </row>
    <row r="29" spans="1:16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2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s="13" t="str">
        <f t="shared" si="3"/>
        <v>APR</v>
      </c>
      <c r="L29" s="10" t="s">
        <v>132</v>
      </c>
      <c r="M29" s="19"/>
      <c r="N29" s="22" t="s">
        <v>133</v>
      </c>
      <c r="O29" s="21"/>
    </row>
    <row r="30" spans="1:1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4" t="str">
        <f t="shared" si="0"/>
        <v>Standard Price</v>
      </c>
      <c r="H30" s="14" t="str">
        <f t="shared" si="1"/>
        <v>07</v>
      </c>
      <c r="I30" s="14" t="str">
        <f t="shared" si="2"/>
        <v>CA</v>
      </c>
      <c r="J30" s="15" t="str">
        <f t="shared" si="3"/>
        <v>MAR</v>
      </c>
      <c r="L30" t="s">
        <v>125</v>
      </c>
    </row>
    <row r="31" spans="1:1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2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s="13" t="str">
        <f t="shared" si="3"/>
        <v>APR</v>
      </c>
      <c r="M31" s="19"/>
      <c r="N31" s="22" t="s">
        <v>137</v>
      </c>
      <c r="O31" s="22"/>
      <c r="P31" s="21"/>
    </row>
    <row r="32" spans="1:1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4" t="str">
        <f t="shared" si="0"/>
        <v>Standard Price</v>
      </c>
      <c r="H32" s="14" t="str">
        <f t="shared" si="1"/>
        <v>24</v>
      </c>
      <c r="I32" s="14" t="str">
        <f t="shared" si="2"/>
        <v>CA</v>
      </c>
      <c r="J32" s="15" t="str">
        <f t="shared" si="3"/>
        <v>MAY</v>
      </c>
      <c r="L32" s="10" t="s">
        <v>134</v>
      </c>
    </row>
    <row r="33" spans="1:15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2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s="13" t="str">
        <f t="shared" si="3"/>
        <v>DEC</v>
      </c>
      <c r="M33" s="19"/>
      <c r="N33" s="22" t="s">
        <v>135</v>
      </c>
      <c r="O33" s="21"/>
    </row>
    <row r="34" spans="1:15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4" t="str">
        <f t="shared" si="0"/>
        <v>Higher Price</v>
      </c>
      <c r="H34" s="14" t="str">
        <f t="shared" si="1"/>
        <v>17</v>
      </c>
      <c r="I34" s="14" t="str">
        <f t="shared" si="2"/>
        <v>IN</v>
      </c>
      <c r="J34" s="15" t="str">
        <f t="shared" si="3"/>
        <v>JUN</v>
      </c>
    </row>
    <row r="35" spans="1:15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2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s="13" t="str">
        <f t="shared" si="3"/>
        <v>JUL</v>
      </c>
    </row>
    <row r="36" spans="1:15" ht="15.75" customHeight="1" x14ac:dyDescent="0.25">
      <c r="G36" s="6"/>
    </row>
    <row r="37" spans="1:15" ht="15.75" customHeight="1" x14ac:dyDescent="0.25">
      <c r="G37" s="6"/>
    </row>
    <row r="38" spans="1:15" ht="15.75" customHeight="1" x14ac:dyDescent="0.25">
      <c r="G38" s="6"/>
    </row>
    <row r="39" spans="1:15" ht="15.75" customHeight="1" x14ac:dyDescent="0.25">
      <c r="G39" s="6"/>
    </row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ROJER THE EDITOO</dc:creator>
  <cp:lastModifiedBy>ROJER THE EDITOO</cp:lastModifiedBy>
  <dcterms:created xsi:type="dcterms:W3CDTF">2025-12-29T13:09:13Z</dcterms:created>
  <dcterms:modified xsi:type="dcterms:W3CDTF">2025-12-29T13:09:13Z</dcterms:modified>
</cp:coreProperties>
</file>