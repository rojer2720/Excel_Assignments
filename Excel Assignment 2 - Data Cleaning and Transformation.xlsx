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Data Analytics\Assignment\Excel\"/>
    </mc:Choice>
  </mc:AlternateContent>
  <xr:revisionPtr revIDLastSave="0" documentId="8_{ED0501B9-CB94-488B-9A7A-091C6ACEA0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set Cleaned" sheetId="5" r:id="rId1"/>
    <sheet name="Dataset Worked" sheetId="4" r:id="rId2"/>
    <sheet name="Dataset" sheetId="2" r:id="rId3"/>
    <sheet name="Instruction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H7" i="4" a="1"/>
  <c r="H7" i="4" s="1"/>
  <c r="H8" i="4" a="1"/>
  <c r="H8" i="4"/>
  <c r="H9" i="4" a="1"/>
  <c r="H9" i="4"/>
  <c r="H10" i="4" a="1"/>
  <c r="H10" i="4"/>
  <c r="H11" i="4" a="1"/>
  <c r="H11" i="4" s="1"/>
  <c r="H12" i="4" a="1"/>
  <c r="H12" i="4"/>
  <c r="H13" i="4" a="1"/>
  <c r="H13" i="4" s="1"/>
  <c r="H14" i="4" a="1"/>
  <c r="H14" i="4" s="1"/>
  <c r="H15" i="4" a="1"/>
  <c r="H15" i="4" s="1"/>
  <c r="H16" i="4" a="1"/>
  <c r="H16" i="4"/>
  <c r="H17" i="4" a="1"/>
  <c r="H17" i="4" s="1"/>
  <c r="H18" i="4" a="1"/>
  <c r="H18" i="4" s="1"/>
  <c r="H19" i="4" a="1"/>
  <c r="H19" i="4" s="1"/>
  <c r="H20" i="4" a="1"/>
  <c r="H20" i="4"/>
  <c r="H21" i="4" a="1"/>
  <c r="H21" i="4" s="1"/>
  <c r="H22" i="4" a="1"/>
  <c r="H22" i="4" s="1"/>
  <c r="H23" i="4" a="1"/>
  <c r="H23" i="4" s="1"/>
  <c r="H24" i="4" a="1"/>
  <c r="H24" i="4" s="1"/>
  <c r="H4" i="4" a="1"/>
  <c r="H4" i="4" s="1"/>
  <c r="H5" i="4" a="1"/>
  <c r="H5" i="4" s="1"/>
  <c r="H6" i="4" a="1"/>
  <c r="H6" i="4" s="1"/>
  <c r="H25" i="4" a="1"/>
  <c r="H25" i="4" s="1"/>
  <c r="H26" i="4" a="1"/>
  <c r="H26" i="4" s="1"/>
  <c r="H27" i="4" a="1"/>
  <c r="H27" i="4"/>
  <c r="H28" i="4" a="1"/>
  <c r="H28" i="4" s="1"/>
  <c r="H29" i="4" a="1"/>
  <c r="H29" i="4" s="1"/>
  <c r="H30" i="4" a="1"/>
  <c r="H30" i="4" s="1"/>
  <c r="H31" i="4" a="1"/>
  <c r="H31" i="4"/>
  <c r="H32" i="4" a="1"/>
  <c r="H32" i="4" s="1"/>
  <c r="H2" i="4" a="1"/>
  <c r="H2" i="4" s="1"/>
  <c r="O2" i="4" a="1"/>
  <c r="O2" i="4" s="1"/>
  <c r="O7" i="4" a="1"/>
  <c r="O7" i="4"/>
  <c r="O8" i="4" a="1"/>
  <c r="O8" i="4" s="1"/>
  <c r="O9" i="4" a="1"/>
  <c r="O9" i="4" s="1"/>
  <c r="O10" i="4" a="1"/>
  <c r="O10" i="4" s="1"/>
  <c r="O11" i="4" a="1"/>
  <c r="O11" i="4" s="1"/>
  <c r="O12" i="4" a="1"/>
  <c r="O12" i="4" s="1"/>
  <c r="O13" i="4" a="1"/>
  <c r="O13" i="4" s="1"/>
  <c r="O14" i="4" a="1"/>
  <c r="O14" i="4" s="1"/>
  <c r="O3" i="4" a="1"/>
  <c r="O3" i="4" s="1"/>
  <c r="O4" i="4" a="1"/>
  <c r="O4" i="4" s="1"/>
  <c r="O5" i="4" a="1"/>
  <c r="O5" i="4" s="1"/>
  <c r="O6" i="4" a="1"/>
  <c r="O6" i="4" s="1"/>
  <c r="O15" i="4" a="1"/>
  <c r="O15" i="4" s="1"/>
  <c r="O16" i="4" a="1"/>
  <c r="O16" i="4" s="1"/>
  <c r="O17" i="4" a="1"/>
  <c r="O17" i="4" s="1"/>
  <c r="O18" i="4" a="1"/>
  <c r="O18" i="4" s="1"/>
  <c r="O19" i="4" a="1"/>
  <c r="O19" i="4" s="1"/>
  <c r="O20" i="4" a="1"/>
  <c r="O20" i="4" s="1"/>
  <c r="O21" i="4" a="1"/>
  <c r="O21" i="4" s="1"/>
  <c r="O22" i="4" a="1"/>
  <c r="O22" i="4" s="1"/>
  <c r="O23" i="4" a="1"/>
  <c r="O23" i="4" s="1"/>
  <c r="O24" i="4" a="1"/>
  <c r="O24" i="4" s="1"/>
  <c r="O25" i="4" a="1"/>
  <c r="O25" i="4" s="1"/>
  <c r="O26" i="4" a="1"/>
  <c r="O26" i="4" s="1"/>
  <c r="O27" i="4" a="1"/>
  <c r="O27" i="4" s="1"/>
  <c r="O28" i="4" a="1"/>
  <c r="O28" i="4" s="1"/>
  <c r="O29" i="4" a="1"/>
  <c r="O29" i="4" s="1"/>
  <c r="O30" i="4" a="1"/>
  <c r="O30" i="4" s="1"/>
  <c r="O31" i="4" a="1"/>
  <c r="O31" i="4" s="1"/>
  <c r="O32" i="4" a="1"/>
  <c r="O32" i="4" s="1"/>
  <c r="H3" i="4" a="1"/>
  <c r="H3" i="4"/>
  <c r="L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2" i="4"/>
  <c r="M2" i="4"/>
  <c r="G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<sst xmlns="http://schemas.openxmlformats.org/spreadsheetml/2006/main" count="486" uniqueCount="171">
  <si>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</si>
  <si>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</si>
  <si>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</si>
  <si>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</si>
  <si>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</si>
  <si>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</si>
  <si>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</si>
  <si>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</si>
  <si>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</si>
  <si>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</si>
  <si>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</si>
  <si>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</si>
  <si>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</si>
  <si>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</si>
  <si>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</si>
  <si>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</si>
  <si>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</si>
  <si>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</si>
  <si>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</si>
  <si>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</si>
  <si>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</si>
  <si>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</si>
  <si>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</si>
  <si>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</si>
  <si>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</si>
  <si>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</si>
  <si>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</si>
  <si>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</si>
  <si>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</si>
  <si>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</si>
  <si>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</si>
  <si>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</si>
  <si>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</si>
  <si>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</si>
  <si>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</si>
  <si>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</si>
  <si>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</si>
  <si>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</si>
  <si>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</si>
  <si>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</si>
  <si>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</si>
  <si>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</si>
  <si>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</si>
  <si>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</si>
  <si>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</si>
  <si>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</si>
  <si>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</si>
  <si>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</si>
  <si>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</si>
  <si>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</si>
  <si>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</si>
  <si>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</si>
  <si>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</si>
  <si>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</si>
  <si>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</si>
  <si>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</si>
  <si>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</si>
  <si>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</si>
  <si>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</si>
  <si>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</si>
  <si>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</si>
  <si>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</si>
  <si>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</si>
  <si>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</si>
  <si>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</si>
  <si>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</si>
  <si>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</si>
  <si>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</si>
  <si>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</si>
  <si>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</si>
  <si>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</si>
  <si>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</si>
  <si>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</si>
  <si>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</si>
  <si>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</si>
  <si>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</si>
  <si>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</si>
  <si>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</si>
  <si>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</si>
  <si>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</si>
  <si>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</si>
  <si>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</si>
  <si>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</si>
  <si>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</si>
  <si>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</si>
  <si>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</si>
  <si>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</si>
  <si>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</si>
  <si>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</si>
  <si>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</si>
  <si>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</si>
  <si>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</si>
  <si>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</si>
  <si>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</si>
  <si>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</si>
  <si>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</si>
  <si>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</si>
  <si>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</si>
  <si>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</si>
  <si>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</si>
  <si>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</si>
  <si>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</si>
  <si>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</si>
  <si>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</si>
  <si>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</si>
  <si>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</si>
  <si>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</si>
  <si>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</si>
  <si>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</si>
  <si>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</si>
  <si>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</si>
  <si>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</si>
  <si>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</si>
  <si>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</si>
  <si>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</si>
  <si>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</si>
  <si>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SmartPhone</t>
  </si>
  <si>
    <t>Laptop-Dell</t>
  </si>
  <si>
    <t>Missing Price Finded</t>
  </si>
  <si>
    <t>Missing Category Finded</t>
  </si>
  <si>
    <t>Manufactured Date</t>
  </si>
  <si>
    <t>Formated Date</t>
  </si>
  <si>
    <t>Country Code</t>
  </si>
  <si>
    <t>Product Brand</t>
  </si>
  <si>
    <t>Price With Currency</t>
  </si>
  <si>
    <t>Conditional Formatting on Price</t>
  </si>
  <si>
    <t>Conditional Formating On Category</t>
  </si>
  <si>
    <t>US</t>
  </si>
  <si>
    <t>Sneakers-Nike</t>
  </si>
  <si>
    <t>Coffee Maker-Keurig</t>
  </si>
  <si>
    <t>Smartphone-Samsung</t>
  </si>
  <si>
    <t>Backpack-North Face</t>
  </si>
  <si>
    <t>UK</t>
  </si>
  <si>
    <t>Headphones-Sony</t>
  </si>
  <si>
    <t>T-Shirt-Adidas</t>
  </si>
  <si>
    <t>Blender-Ninja</t>
  </si>
  <si>
    <t>Tablet-Apple</t>
  </si>
  <si>
    <t>Hiking Boots-Timberland</t>
  </si>
  <si>
    <t>IN</t>
  </si>
  <si>
    <t>Laptop-Hp</t>
  </si>
  <si>
    <t>AU</t>
  </si>
  <si>
    <t>Sneakers-Adidas</t>
  </si>
  <si>
    <t>DE</t>
  </si>
  <si>
    <t>Coffee Maker-Nespresso</t>
  </si>
  <si>
    <t>CA</t>
  </si>
  <si>
    <t>Smartwatch-Fitbit</t>
  </si>
  <si>
    <t>ES</t>
  </si>
  <si>
    <t>Headphones-Bose</t>
  </si>
  <si>
    <t>Laptop Bag-Samsonite</t>
  </si>
  <si>
    <t>CN</t>
  </si>
  <si>
    <t>Smartwatch-Huawei</t>
  </si>
  <si>
    <t>IT</t>
  </si>
  <si>
    <t>Laptop-Asus</t>
  </si>
  <si>
    <t>Sunglasses-Oakley</t>
  </si>
  <si>
    <t>Camping Tent-Coleman</t>
  </si>
  <si>
    <t>RU</t>
  </si>
  <si>
    <t>Camera-Nikon</t>
  </si>
  <si>
    <t>Microwave-Panasonic</t>
  </si>
  <si>
    <t>BR</t>
  </si>
  <si>
    <t>Fitness Tracker-Xiaomi</t>
  </si>
  <si>
    <t>Smartphone-Google</t>
  </si>
  <si>
    <t>Sunglasses-Ray-Ban</t>
  </si>
  <si>
    <t>Blender-Vitamix</t>
  </si>
  <si>
    <t>Dress-Zara</t>
  </si>
  <si>
    <t>Toaster-Hamilton</t>
  </si>
  <si>
    <t>Fitness Tracker-Garmin</t>
  </si>
  <si>
    <t>Jeans-Levi'S</t>
  </si>
  <si>
    <t>FR</t>
  </si>
  <si>
    <t>Watch-Casio</t>
  </si>
  <si>
    <t>Price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</si>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</sst>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39997558519241921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64" fontId="0" fillId="0" borderId="0" xfId="0" applyNumberFormat="1"/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4" fontId="10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center"/>
    </xf>
    <xf numFmtId="164" fontId="5" fillId="0" borderId="0" xfId="0" applyNumberFormat="1" applyFont="1"/>
    <xf numFmtId="164" fontId="5" fillId="3" borderId="0" xfId="0" applyNumberFormat="1" applyFont="1" applyFill="1"/>
  </cellXfs>
  <cellStyles count="1">
    <cellStyle name="Normal" xfId="0" builtinId="0"/>
  </cellStyles>
  <dxfs count="12">
    <dxf>
      <font>
        <color theme="2"/>
      </font>
      <fill>
        <patternFill>
          <bgColor theme="7" tint="-0.24994659260841701"/>
        </patternFill>
      </fill>
    </dxf>
    <dxf>
      <font>
        <color theme="2"/>
      </font>
      <fill>
        <patternFill>
          <bgColor theme="7" tint="-0.24994659260841701"/>
        </patternFill>
      </fill>
    </dxf>
    <dxf>
      <font>
        <b/>
        <family val="2"/>
      </font>
      <numFmt numFmtId="164" formatCode="[$$-409]#,##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theme="7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6EC849-BE73-49B0-97FF-15E1571224FE}" name="Table3" displayName="Table3" ref="A1:H32" totalsRowShown="0" headerRowDxfId="11" dataDxfId="10">
  <autoFilter ref="A1:H32" xr:uid="{F56EC849-BE73-49B0-97FF-15E1571224FE}"/>
  <tableColumns count="8">
    <tableColumn id="1" xr3:uid="{9631E7AF-C40B-4B84-9CD3-F85A03C105CB}" name="Product ID" dataDxfId="9"/>
    <tableColumn id="2" xr3:uid="{C8083D9A-729C-468F-8C13-53FAF18A0901}" name="Product Name" dataDxfId="8"/>
    <tableColumn id="3" xr3:uid="{E2F87750-D747-4D3C-A5D0-C24D6EFFE836}" name="Brand Name" dataDxfId="7"/>
    <tableColumn id="4" xr3:uid="{4081CD5C-3E0E-4AFB-B34A-B8BA3440223D}" name="Product Brand" dataDxfId="6"/>
    <tableColumn id="8" xr3:uid="{E556849A-9C29-42C7-9F0B-7CF6D29F1413}" name="Category" dataDxfId="5"/>
    <tableColumn id="10" xr3:uid="{5EE72F2F-6EDF-4DB8-B4E2-3FBEF6BA338C}" name="Manufacturing Date" dataDxfId="4"/>
    <tableColumn id="11" xr3:uid="{0BCFBDBD-E8D8-488B-BD5E-6FB024389DE2}" name="Country Code" dataDxfId="3"/>
    <tableColumn id="14" xr3:uid="{F599CB44-F3DD-4591-BD2C-6308757AD5A0}" name="Price" dataDxfId="2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82E2-1835-4E71-8437-3E0B5408BF3F}">
  <sheetPr>
    <outlinePr summaryBelow="0" summaryRight="0"/>
  </sheetPr>
  <dimension ref="A1:I1000"/>
  <sheetViews>
    <sheetView workbookViewId="0">
      <selection activeCell="G17" sqref="G17"/>
    </sheetView>
  </sheetViews>
  <sheetFormatPr defaultColWidth="12.6640625" defaultRowHeight="15" customHeight="1" x14ac:dyDescent="0.25"/>
  <cols>
    <col min="1" max="1" width="14.77734375" bestFit="1" customWidth="1"/>
    <col min="2" max="2" width="18" bestFit="1" customWidth="1"/>
    <col min="3" max="3" width="16.21875" bestFit="1" customWidth="1"/>
    <col min="4" max="4" width="21.5546875" bestFit="1" customWidth="1"/>
    <col min="5" max="5" width="13.44140625" bestFit="1" customWidth="1"/>
    <col min="6" max="6" width="22.6640625" bestFit="1" customWidth="1"/>
    <col min="7" max="7" width="17.77734375" bestFit="1" customWidth="1"/>
    <col min="8" max="8" width="12.5546875" customWidth="1"/>
    <col min="9" max="9" width="19.33203125" customWidth="1"/>
    <col min="10" max="10" width="15.77734375" customWidth="1"/>
    <col min="11" max="11" width="15.109375" customWidth="1"/>
    <col min="12" max="12" width="21.5546875" bestFit="1" customWidth="1"/>
    <col min="13" max="13" width="20.6640625" customWidth="1"/>
    <col min="14" max="14" width="30.6640625" customWidth="1"/>
    <col min="15" max="15" width="33.88671875" customWidth="1"/>
  </cols>
  <sheetData>
    <row r="1" spans="1:9" ht="15.75" customHeight="1" x14ac:dyDescent="0.25">
      <c r="A1" s="17" t="s">
        <v>19</v>
      </c>
      <c r="B1" s="17" t="s">
        <v>20</v>
      </c>
      <c r="C1" s="17" t="s">
        <v>21</v>
      </c>
      <c r="D1" s="18" t="s">
        <v>123</v>
      </c>
      <c r="E1" s="18" t="s">
        <v>24</v>
      </c>
      <c r="F1" s="18" t="s">
        <v>170</v>
      </c>
      <c r="G1" s="18" t="s">
        <v>122</v>
      </c>
      <c r="H1" s="19" t="s">
        <v>169</v>
      </c>
    </row>
    <row r="2" spans="1:9" ht="15.75" customHeight="1" x14ac:dyDescent="0.25">
      <c r="A2" s="11" t="s">
        <v>25</v>
      </c>
      <c r="B2" s="11" t="s">
        <v>61</v>
      </c>
      <c r="C2" s="11" t="s">
        <v>27</v>
      </c>
      <c r="D2" s="13" t="s">
        <v>117</v>
      </c>
      <c r="E2" s="23" t="s">
        <v>28</v>
      </c>
      <c r="F2" s="15">
        <v>45685</v>
      </c>
      <c r="G2" s="13" t="s">
        <v>127</v>
      </c>
      <c r="H2" s="22">
        <v>1000</v>
      </c>
      <c r="I2" s="20"/>
    </row>
    <row r="3" spans="1:9" ht="15.75" customHeight="1" x14ac:dyDescent="0.25">
      <c r="A3" s="12" t="s">
        <v>29</v>
      </c>
      <c r="B3" s="12" t="s">
        <v>30</v>
      </c>
      <c r="C3" s="12" t="s">
        <v>31</v>
      </c>
      <c r="D3" s="14" t="s">
        <v>128</v>
      </c>
      <c r="E3" s="23" t="s">
        <v>32</v>
      </c>
      <c r="F3" s="15">
        <v>45703</v>
      </c>
      <c r="G3" s="14" t="s">
        <v>127</v>
      </c>
      <c r="H3" s="22">
        <v>80</v>
      </c>
      <c r="I3" s="21"/>
    </row>
    <row r="4" spans="1:9" ht="15.75" customHeight="1" x14ac:dyDescent="0.25">
      <c r="A4" s="11" t="s">
        <v>33</v>
      </c>
      <c r="B4" s="11" t="s">
        <v>34</v>
      </c>
      <c r="C4" s="11" t="s">
        <v>35</v>
      </c>
      <c r="D4" s="13" t="s">
        <v>129</v>
      </c>
      <c r="E4" s="23" t="s">
        <v>36</v>
      </c>
      <c r="F4" s="15">
        <v>45719</v>
      </c>
      <c r="G4" s="13" t="s">
        <v>127</v>
      </c>
      <c r="H4" s="22">
        <v>130</v>
      </c>
      <c r="I4" s="21"/>
    </row>
    <row r="5" spans="1:9" ht="15.75" customHeight="1" x14ac:dyDescent="0.25">
      <c r="A5" s="12" t="s">
        <v>37</v>
      </c>
      <c r="B5" s="12" t="s">
        <v>116</v>
      </c>
      <c r="C5" s="12" t="s">
        <v>39</v>
      </c>
      <c r="D5" s="14" t="s">
        <v>130</v>
      </c>
      <c r="E5" s="23" t="s">
        <v>28</v>
      </c>
      <c r="F5" s="15">
        <v>45758</v>
      </c>
      <c r="G5" s="14" t="s">
        <v>127</v>
      </c>
      <c r="H5" s="22">
        <v>900</v>
      </c>
      <c r="I5" s="21"/>
    </row>
    <row r="6" spans="1:9" ht="15.75" customHeight="1" x14ac:dyDescent="0.25">
      <c r="A6" s="11" t="s">
        <v>40</v>
      </c>
      <c r="B6" s="11" t="s">
        <v>41</v>
      </c>
      <c r="C6" s="11" t="s">
        <v>42</v>
      </c>
      <c r="D6" s="13" t="s">
        <v>131</v>
      </c>
      <c r="E6" s="23" t="s">
        <v>59</v>
      </c>
      <c r="F6" s="15">
        <v>45799</v>
      </c>
      <c r="G6" s="13" t="s">
        <v>127</v>
      </c>
      <c r="H6" s="22">
        <v>70</v>
      </c>
      <c r="I6" s="20"/>
    </row>
    <row r="7" spans="1:9" ht="15.75" customHeight="1" x14ac:dyDescent="0.25">
      <c r="A7" s="12" t="s">
        <v>43</v>
      </c>
      <c r="B7" s="12" t="s">
        <v>44</v>
      </c>
      <c r="C7" s="12" t="s">
        <v>45</v>
      </c>
      <c r="D7" s="14" t="s">
        <v>133</v>
      </c>
      <c r="E7" s="23" t="s">
        <v>28</v>
      </c>
      <c r="F7" s="15">
        <v>45815</v>
      </c>
      <c r="G7" s="14" t="s">
        <v>132</v>
      </c>
      <c r="H7" s="22">
        <v>250</v>
      </c>
      <c r="I7" s="20"/>
    </row>
    <row r="8" spans="1:9" ht="15.75" customHeight="1" x14ac:dyDescent="0.25">
      <c r="A8" s="11" t="s">
        <v>47</v>
      </c>
      <c r="B8" s="11" t="s">
        <v>48</v>
      </c>
      <c r="C8" s="11" t="s">
        <v>49</v>
      </c>
      <c r="D8" s="13" t="s">
        <v>134</v>
      </c>
      <c r="E8" s="23" t="s">
        <v>32</v>
      </c>
      <c r="F8" s="15">
        <v>45857</v>
      </c>
      <c r="G8" s="13" t="s">
        <v>132</v>
      </c>
      <c r="H8" s="22">
        <v>30</v>
      </c>
      <c r="I8" s="20"/>
    </row>
    <row r="9" spans="1:9" ht="15.75" customHeight="1" x14ac:dyDescent="0.25">
      <c r="A9" s="12" t="s">
        <v>50</v>
      </c>
      <c r="B9" s="12" t="s">
        <v>51</v>
      </c>
      <c r="C9" s="12" t="s">
        <v>52</v>
      </c>
      <c r="D9" s="14" t="s">
        <v>135</v>
      </c>
      <c r="E9" s="23" t="s">
        <v>36</v>
      </c>
      <c r="F9" s="15">
        <v>45892</v>
      </c>
      <c r="G9" s="14" t="s">
        <v>132</v>
      </c>
      <c r="H9" s="22">
        <v>90</v>
      </c>
      <c r="I9" s="20"/>
    </row>
    <row r="10" spans="1:9" ht="15.75" customHeight="1" x14ac:dyDescent="0.25">
      <c r="A10" s="11" t="s">
        <v>53</v>
      </c>
      <c r="B10" s="11" t="s">
        <v>54</v>
      </c>
      <c r="C10" s="11" t="s">
        <v>55</v>
      </c>
      <c r="D10" s="13" t="s">
        <v>136</v>
      </c>
      <c r="E10" s="23" t="s">
        <v>28</v>
      </c>
      <c r="F10" s="15">
        <v>45905</v>
      </c>
      <c r="G10" s="13" t="s">
        <v>132</v>
      </c>
      <c r="H10" s="22">
        <v>500</v>
      </c>
      <c r="I10" s="20"/>
    </row>
    <row r="11" spans="1:9" ht="15.75" customHeight="1" x14ac:dyDescent="0.25">
      <c r="A11" s="12" t="s">
        <v>56</v>
      </c>
      <c r="B11" s="12" t="s">
        <v>57</v>
      </c>
      <c r="C11" s="12" t="s">
        <v>58</v>
      </c>
      <c r="D11" s="14" t="s">
        <v>137</v>
      </c>
      <c r="E11" s="23" t="s">
        <v>59</v>
      </c>
      <c r="F11" s="15">
        <v>45944</v>
      </c>
      <c r="G11" s="14" t="s">
        <v>132</v>
      </c>
      <c r="H11" s="22">
        <v>130</v>
      </c>
      <c r="I11" s="20"/>
    </row>
    <row r="12" spans="1:9" ht="15.75" customHeight="1" x14ac:dyDescent="0.25">
      <c r="A12" s="11" t="s">
        <v>60</v>
      </c>
      <c r="B12" s="11" t="s">
        <v>61</v>
      </c>
      <c r="C12" s="11" t="s">
        <v>62</v>
      </c>
      <c r="D12" s="13" t="s">
        <v>139</v>
      </c>
      <c r="E12" s="23" t="s">
        <v>28</v>
      </c>
      <c r="F12" s="15">
        <v>45825</v>
      </c>
      <c r="G12" s="13" t="s">
        <v>138</v>
      </c>
      <c r="H12" s="22">
        <v>950</v>
      </c>
      <c r="I12" s="20"/>
    </row>
    <row r="13" spans="1:9" ht="15.75" customHeight="1" x14ac:dyDescent="0.25">
      <c r="A13" s="12" t="s">
        <v>63</v>
      </c>
      <c r="B13" s="12" t="s">
        <v>30</v>
      </c>
      <c r="C13" s="12" t="s">
        <v>49</v>
      </c>
      <c r="D13" s="14" t="s">
        <v>141</v>
      </c>
      <c r="E13" s="23" t="s">
        <v>32</v>
      </c>
      <c r="F13" s="15">
        <v>45986</v>
      </c>
      <c r="G13" s="14" t="s">
        <v>140</v>
      </c>
      <c r="H13" s="22">
        <v>90</v>
      </c>
      <c r="I13" s="20"/>
    </row>
    <row r="14" spans="1:9" ht="15.75" customHeight="1" x14ac:dyDescent="0.25">
      <c r="A14" s="11" t="s">
        <v>64</v>
      </c>
      <c r="B14" s="11" t="s">
        <v>34</v>
      </c>
      <c r="C14" s="11" t="s">
        <v>65</v>
      </c>
      <c r="D14" s="13" t="s">
        <v>143</v>
      </c>
      <c r="E14" s="23" t="s">
        <v>36</v>
      </c>
      <c r="F14" s="15">
        <v>45999</v>
      </c>
      <c r="G14" s="13" t="s">
        <v>142</v>
      </c>
      <c r="H14" s="22">
        <v>120</v>
      </c>
      <c r="I14" s="20"/>
    </row>
    <row r="15" spans="1:9" ht="15.75" customHeight="1" x14ac:dyDescent="0.25">
      <c r="A15" s="12" t="s">
        <v>66</v>
      </c>
      <c r="B15" s="12" t="s">
        <v>67</v>
      </c>
      <c r="C15" s="12" t="s">
        <v>68</v>
      </c>
      <c r="D15" s="14" t="s">
        <v>145</v>
      </c>
      <c r="E15" s="23" t="s">
        <v>28</v>
      </c>
      <c r="F15" s="15">
        <v>45706</v>
      </c>
      <c r="G15" s="14" t="s">
        <v>144</v>
      </c>
      <c r="H15" s="22">
        <v>150</v>
      </c>
      <c r="I15" s="20"/>
    </row>
    <row r="16" spans="1:9" ht="15.75" customHeight="1" x14ac:dyDescent="0.25">
      <c r="A16" s="11" t="s">
        <v>69</v>
      </c>
      <c r="B16" s="11" t="s">
        <v>44</v>
      </c>
      <c r="C16" s="11" t="s">
        <v>71</v>
      </c>
      <c r="D16" s="13" t="s">
        <v>147</v>
      </c>
      <c r="E16" s="23" t="s">
        <v>28</v>
      </c>
      <c r="F16" s="15">
        <v>45763</v>
      </c>
      <c r="G16" s="13" t="s">
        <v>146</v>
      </c>
      <c r="H16" s="22">
        <v>250</v>
      </c>
      <c r="I16" s="20"/>
    </row>
    <row r="17" spans="1:9" ht="15.75" customHeight="1" x14ac:dyDescent="0.25">
      <c r="A17" s="12" t="s">
        <v>72</v>
      </c>
      <c r="B17" s="12" t="s">
        <v>73</v>
      </c>
      <c r="C17" s="12" t="s">
        <v>74</v>
      </c>
      <c r="D17" s="14" t="s">
        <v>148</v>
      </c>
      <c r="E17" s="23" t="s">
        <v>75</v>
      </c>
      <c r="F17" s="15">
        <v>45890</v>
      </c>
      <c r="G17" s="14" t="s">
        <v>144</v>
      </c>
      <c r="H17" s="22">
        <v>50</v>
      </c>
      <c r="I17" s="20"/>
    </row>
    <row r="18" spans="1:9" ht="15.75" customHeight="1" x14ac:dyDescent="0.25">
      <c r="A18" s="11" t="s">
        <v>76</v>
      </c>
      <c r="B18" s="11" t="s">
        <v>67</v>
      </c>
      <c r="C18" s="11" t="s">
        <v>77</v>
      </c>
      <c r="D18" s="13" t="s">
        <v>150</v>
      </c>
      <c r="E18" s="23" t="s">
        <v>28</v>
      </c>
      <c r="F18" s="15">
        <v>45889</v>
      </c>
      <c r="G18" s="13" t="s">
        <v>149</v>
      </c>
      <c r="H18" s="22">
        <v>160</v>
      </c>
      <c r="I18" s="20"/>
    </row>
    <row r="19" spans="1:9" ht="15.75" customHeight="1" x14ac:dyDescent="0.25">
      <c r="A19" s="12" t="s">
        <v>78</v>
      </c>
      <c r="B19" s="12" t="s">
        <v>61</v>
      </c>
      <c r="C19" s="12" t="s">
        <v>79</v>
      </c>
      <c r="D19" s="14" t="s">
        <v>152</v>
      </c>
      <c r="E19" s="23" t="s">
        <v>28</v>
      </c>
      <c r="F19" s="15">
        <v>45684</v>
      </c>
      <c r="G19" s="14" t="s">
        <v>151</v>
      </c>
      <c r="H19" s="22">
        <v>980</v>
      </c>
      <c r="I19" s="20"/>
    </row>
    <row r="20" spans="1:9" ht="15.75" customHeight="1" x14ac:dyDescent="0.25">
      <c r="A20" s="11" t="s">
        <v>80</v>
      </c>
      <c r="B20" s="11" t="s">
        <v>81</v>
      </c>
      <c r="C20" s="11" t="s">
        <v>82</v>
      </c>
      <c r="D20" s="13" t="s">
        <v>153</v>
      </c>
      <c r="E20" s="23" t="s">
        <v>32</v>
      </c>
      <c r="F20" s="15">
        <v>45717</v>
      </c>
      <c r="G20" s="13" t="s">
        <v>132</v>
      </c>
      <c r="H20" s="22">
        <v>150</v>
      </c>
      <c r="I20" s="20"/>
    </row>
    <row r="21" spans="1:9" ht="15.75" customHeight="1" x14ac:dyDescent="0.25">
      <c r="A21" s="12" t="s">
        <v>83</v>
      </c>
      <c r="B21" s="12" t="s">
        <v>84</v>
      </c>
      <c r="C21" s="12" t="s">
        <v>85</v>
      </c>
      <c r="D21" s="14" t="s">
        <v>154</v>
      </c>
      <c r="E21" s="23" t="s">
        <v>59</v>
      </c>
      <c r="F21" s="15">
        <v>45883</v>
      </c>
      <c r="G21" s="14" t="s">
        <v>127</v>
      </c>
      <c r="H21" s="22">
        <v>115</v>
      </c>
      <c r="I21" s="20"/>
    </row>
    <row r="22" spans="1:9" ht="15.75" customHeight="1" x14ac:dyDescent="0.25">
      <c r="A22" s="11" t="s">
        <v>86</v>
      </c>
      <c r="B22" s="11" t="s">
        <v>87</v>
      </c>
      <c r="C22" s="11" t="s">
        <v>88</v>
      </c>
      <c r="D22" s="13" t="s">
        <v>156</v>
      </c>
      <c r="E22" s="23" t="s">
        <v>28</v>
      </c>
      <c r="F22" s="15">
        <v>45791</v>
      </c>
      <c r="G22" s="13" t="s">
        <v>155</v>
      </c>
      <c r="H22" s="22">
        <v>700</v>
      </c>
      <c r="I22" s="20"/>
    </row>
    <row r="23" spans="1:9" ht="15.75" customHeight="1" x14ac:dyDescent="0.25">
      <c r="A23" s="12" t="s">
        <v>89</v>
      </c>
      <c r="B23" s="12" t="s">
        <v>90</v>
      </c>
      <c r="C23" s="12" t="s">
        <v>91</v>
      </c>
      <c r="D23" s="14" t="s">
        <v>157</v>
      </c>
      <c r="E23" s="23" t="s">
        <v>36</v>
      </c>
      <c r="F23" s="15">
        <v>45666</v>
      </c>
      <c r="G23" s="14" t="s">
        <v>144</v>
      </c>
      <c r="H23" s="22">
        <v>80</v>
      </c>
      <c r="I23" s="20"/>
    </row>
    <row r="24" spans="1:9" ht="15.75" customHeight="1" x14ac:dyDescent="0.25">
      <c r="A24" s="11" t="s">
        <v>92</v>
      </c>
      <c r="B24" s="11" t="s">
        <v>93</v>
      </c>
      <c r="C24" s="11" t="s">
        <v>94</v>
      </c>
      <c r="D24" s="13" t="s">
        <v>159</v>
      </c>
      <c r="E24" s="23" t="s">
        <v>28</v>
      </c>
      <c r="F24" s="15">
        <v>45857</v>
      </c>
      <c r="G24" s="13" t="s">
        <v>158</v>
      </c>
      <c r="H24" s="22">
        <v>150</v>
      </c>
      <c r="I24" s="20"/>
    </row>
    <row r="25" spans="1:9" ht="15.75" customHeight="1" x14ac:dyDescent="0.25">
      <c r="A25" s="11" t="s">
        <v>95</v>
      </c>
      <c r="B25" s="11" t="s">
        <v>116</v>
      </c>
      <c r="C25" s="11" t="s">
        <v>97</v>
      </c>
      <c r="D25" s="13" t="s">
        <v>160</v>
      </c>
      <c r="E25" s="23" t="s">
        <v>28</v>
      </c>
      <c r="F25" s="15">
        <v>45929</v>
      </c>
      <c r="G25" s="13" t="s">
        <v>144</v>
      </c>
      <c r="H25" s="22">
        <v>800</v>
      </c>
      <c r="I25" s="20"/>
    </row>
    <row r="26" spans="1:9" ht="15.75" customHeight="1" x14ac:dyDescent="0.25">
      <c r="A26" s="12" t="s">
        <v>98</v>
      </c>
      <c r="B26" s="12" t="s">
        <v>81</v>
      </c>
      <c r="C26" s="12" t="s">
        <v>99</v>
      </c>
      <c r="D26" s="14" t="s">
        <v>161</v>
      </c>
      <c r="E26" s="23" t="s">
        <v>32</v>
      </c>
      <c r="F26" s="15">
        <v>45811</v>
      </c>
      <c r="G26" s="14" t="s">
        <v>144</v>
      </c>
      <c r="H26" s="22">
        <v>150</v>
      </c>
      <c r="I26" s="20"/>
    </row>
    <row r="27" spans="1:9" ht="15.75" customHeight="1" x14ac:dyDescent="0.25">
      <c r="A27" s="11" t="s">
        <v>100</v>
      </c>
      <c r="B27" s="11" t="s">
        <v>51</v>
      </c>
      <c r="C27" s="11" t="s">
        <v>101</v>
      </c>
      <c r="D27" s="13" t="s">
        <v>162</v>
      </c>
      <c r="E27" s="23" t="s">
        <v>36</v>
      </c>
      <c r="F27" s="15">
        <v>45849</v>
      </c>
      <c r="G27" s="13" t="s">
        <v>144</v>
      </c>
      <c r="H27" s="22">
        <v>400</v>
      </c>
      <c r="I27" s="20"/>
    </row>
    <row r="28" spans="1:9" ht="15.75" customHeight="1" x14ac:dyDescent="0.25">
      <c r="A28" s="11" t="s">
        <v>102</v>
      </c>
      <c r="B28" s="11" t="s">
        <v>103</v>
      </c>
      <c r="C28" s="11" t="s">
        <v>104</v>
      </c>
      <c r="D28" s="13" t="s">
        <v>163</v>
      </c>
      <c r="E28" s="23" t="s">
        <v>32</v>
      </c>
      <c r="F28" s="15">
        <v>45723</v>
      </c>
      <c r="G28" s="13" t="s">
        <v>144</v>
      </c>
      <c r="H28" s="22">
        <v>60</v>
      </c>
      <c r="I28" s="20"/>
    </row>
    <row r="29" spans="1:9" ht="15.75" customHeight="1" x14ac:dyDescent="0.25">
      <c r="A29" s="12" t="s">
        <v>105</v>
      </c>
      <c r="B29" s="12" t="s">
        <v>106</v>
      </c>
      <c r="C29" s="12" t="s">
        <v>107</v>
      </c>
      <c r="D29" s="14" t="s">
        <v>164</v>
      </c>
      <c r="E29" s="23" t="s">
        <v>36</v>
      </c>
      <c r="F29" s="15">
        <v>45760</v>
      </c>
      <c r="G29" s="14" t="s">
        <v>144</v>
      </c>
      <c r="H29" s="22">
        <v>40</v>
      </c>
      <c r="I29" s="20"/>
    </row>
    <row r="30" spans="1:9" ht="15.75" customHeight="1" x14ac:dyDescent="0.25">
      <c r="A30" s="11" t="s">
        <v>108</v>
      </c>
      <c r="B30" s="11" t="s">
        <v>93</v>
      </c>
      <c r="C30" s="11" t="s">
        <v>109</v>
      </c>
      <c r="D30" s="13" t="s">
        <v>165</v>
      </c>
      <c r="E30" s="23" t="s">
        <v>28</v>
      </c>
      <c r="F30" s="15">
        <v>45801</v>
      </c>
      <c r="G30" s="13" t="s">
        <v>144</v>
      </c>
      <c r="H30" s="22">
        <v>130</v>
      </c>
      <c r="I30" s="20"/>
    </row>
    <row r="31" spans="1:9" ht="15.75" customHeight="1" x14ac:dyDescent="0.25">
      <c r="A31" s="12" t="s">
        <v>110</v>
      </c>
      <c r="B31" s="12" t="s">
        <v>111</v>
      </c>
      <c r="C31" s="12" t="s">
        <v>112</v>
      </c>
      <c r="D31" s="14" t="s">
        <v>166</v>
      </c>
      <c r="E31" s="23" t="s">
        <v>32</v>
      </c>
      <c r="F31" s="15">
        <v>45993</v>
      </c>
      <c r="G31" s="14" t="s">
        <v>144</v>
      </c>
      <c r="H31" s="22">
        <v>50</v>
      </c>
      <c r="I31" s="20"/>
    </row>
    <row r="32" spans="1:9" ht="15.75" customHeight="1" x14ac:dyDescent="0.25">
      <c r="A32" s="12" t="s">
        <v>113</v>
      </c>
      <c r="B32" s="12" t="s">
        <v>114</v>
      </c>
      <c r="C32" s="12" t="s">
        <v>115</v>
      </c>
      <c r="D32" s="14" t="s">
        <v>168</v>
      </c>
      <c r="E32" s="23" t="s">
        <v>75</v>
      </c>
      <c r="F32" s="15">
        <v>45847</v>
      </c>
      <c r="G32" s="14" t="s">
        <v>167</v>
      </c>
      <c r="H32" s="22">
        <v>100</v>
      </c>
      <c r="I32" s="20"/>
    </row>
    <row r="33" spans="7:9" ht="15.75" customHeight="1" x14ac:dyDescent="0.25">
      <c r="G33" s="5"/>
      <c r="H33" s="20"/>
      <c r="I33" s="20"/>
    </row>
    <row r="34" spans="7:9" ht="15.75" customHeight="1" x14ac:dyDescent="0.25">
      <c r="G34" s="5"/>
      <c r="H34" s="20"/>
      <c r="I34" s="20"/>
    </row>
    <row r="35" spans="7:9" ht="15.75" customHeight="1" x14ac:dyDescent="0.25">
      <c r="G35" s="5"/>
      <c r="H35" s="20"/>
      <c r="I35" s="20"/>
    </row>
    <row r="36" spans="7:9" ht="15.75" customHeight="1" x14ac:dyDescent="0.25">
      <c r="H36" s="20"/>
      <c r="I36" s="20"/>
    </row>
    <row r="37" spans="7:9" ht="15.75" customHeight="1" x14ac:dyDescent="0.25">
      <c r="H37" s="20"/>
      <c r="I37" s="20"/>
    </row>
    <row r="38" spans="7:9" ht="15.75" customHeight="1" x14ac:dyDescent="0.25">
      <c r="H38" s="20"/>
      <c r="I38" s="20"/>
    </row>
    <row r="39" spans="7:9" ht="15.75" customHeight="1" x14ac:dyDescent="0.25">
      <c r="H39" s="20"/>
      <c r="I39" s="20"/>
    </row>
    <row r="40" spans="7:9" ht="15.75" customHeight="1" x14ac:dyDescent="0.25">
      <c r="H40" s="20"/>
      <c r="I40" s="20"/>
    </row>
    <row r="41" spans="7:9" ht="15.75" customHeight="1" x14ac:dyDescent="0.25">
      <c r="H41" s="20"/>
      <c r="I41" s="20"/>
    </row>
    <row r="42" spans="7:9" ht="15.75" customHeight="1" x14ac:dyDescent="0.25">
      <c r="H42" s="20"/>
      <c r="I42" s="20"/>
    </row>
    <row r="43" spans="7:9" ht="15.75" customHeight="1" x14ac:dyDescent="0.25">
      <c r="H43" s="20"/>
      <c r="I43" s="20"/>
    </row>
    <row r="44" spans="7:9" ht="15.75" customHeight="1" x14ac:dyDescent="0.25">
      <c r="H44" s="20"/>
      <c r="I44" s="20"/>
    </row>
    <row r="45" spans="7:9" ht="15.75" customHeight="1" x14ac:dyDescent="0.25">
      <c r="H45" s="20"/>
      <c r="I45" s="20"/>
    </row>
    <row r="46" spans="7:9" ht="15.75" customHeight="1" x14ac:dyDescent="0.25">
      <c r="H46" s="20"/>
      <c r="I46" s="20"/>
    </row>
    <row r="47" spans="7:9" ht="15.75" customHeight="1" x14ac:dyDescent="0.25">
      <c r="H47" s="20"/>
      <c r="I47" s="20"/>
    </row>
    <row r="48" spans="7:9" ht="15.75" customHeight="1" x14ac:dyDescent="0.25">
      <c r="H48" s="20"/>
      <c r="I48" s="20"/>
    </row>
    <row r="49" spans="8:9" ht="15.75" customHeight="1" x14ac:dyDescent="0.25">
      <c r="H49" s="20"/>
      <c r="I49" s="20"/>
    </row>
    <row r="50" spans="8:9" ht="15.75" customHeight="1" x14ac:dyDescent="0.25">
      <c r="H50" s="20"/>
      <c r="I50" s="20"/>
    </row>
    <row r="51" spans="8:9" ht="15.75" customHeight="1" x14ac:dyDescent="0.25">
      <c r="H51" s="20"/>
      <c r="I51" s="20"/>
    </row>
    <row r="52" spans="8:9" ht="15.75" customHeight="1" x14ac:dyDescent="0.25">
      <c r="H52" s="20"/>
      <c r="I52" s="20"/>
    </row>
    <row r="53" spans="8:9" ht="15.75" customHeight="1" x14ac:dyDescent="0.25">
      <c r="H53" s="20"/>
      <c r="I53" s="20"/>
    </row>
    <row r="54" spans="8:9" ht="15.75" customHeight="1" x14ac:dyDescent="0.25">
      <c r="H54" s="20"/>
      <c r="I54" s="20"/>
    </row>
    <row r="55" spans="8:9" ht="15.75" customHeight="1" x14ac:dyDescent="0.25">
      <c r="H55" s="20"/>
      <c r="I55" s="20"/>
    </row>
    <row r="56" spans="8:9" ht="15.75" customHeight="1" x14ac:dyDescent="0.25">
      <c r="H56" s="20"/>
      <c r="I56" s="20"/>
    </row>
    <row r="57" spans="8:9" ht="15.75" customHeight="1" x14ac:dyDescent="0.25">
      <c r="H57" s="20"/>
      <c r="I57" s="20"/>
    </row>
    <row r="58" spans="8:9" ht="15.75" customHeight="1" x14ac:dyDescent="0.25">
      <c r="H58" s="20"/>
      <c r="I58" s="20"/>
    </row>
    <row r="59" spans="8:9" ht="15.75" customHeight="1" x14ac:dyDescent="0.25">
      <c r="H59" s="20"/>
      <c r="I59" s="20"/>
    </row>
    <row r="60" spans="8:9" ht="15.75" customHeight="1" x14ac:dyDescent="0.25">
      <c r="H60" s="20"/>
      <c r="I60" s="20"/>
    </row>
    <row r="61" spans="8:9" ht="15.75" customHeight="1" x14ac:dyDescent="0.25">
      <c r="H61" s="20"/>
      <c r="I61" s="20"/>
    </row>
    <row r="62" spans="8:9" ht="15.75" customHeight="1" x14ac:dyDescent="0.25">
      <c r="H62" s="20"/>
      <c r="I62" s="20"/>
    </row>
    <row r="63" spans="8:9" ht="15.75" customHeight="1" x14ac:dyDescent="0.25">
      <c r="H63" s="20"/>
      <c r="I63" s="20"/>
    </row>
    <row r="64" spans="8:9" ht="15.75" customHeight="1" x14ac:dyDescent="0.25">
      <c r="H64" s="20"/>
      <c r="I64" s="20"/>
    </row>
    <row r="65" spans="8:9" ht="15.75" customHeight="1" x14ac:dyDescent="0.25">
      <c r="H65" s="20"/>
      <c r="I65" s="20"/>
    </row>
    <row r="66" spans="8:9" ht="15.75" customHeight="1" x14ac:dyDescent="0.25">
      <c r="H66" s="20"/>
      <c r="I66" s="20"/>
    </row>
    <row r="67" spans="8:9" ht="15.75" customHeight="1" x14ac:dyDescent="0.25">
      <c r="H67" s="20"/>
      <c r="I67" s="20"/>
    </row>
    <row r="68" spans="8:9" ht="15.75" customHeight="1" x14ac:dyDescent="0.25">
      <c r="H68" s="20"/>
      <c r="I68" s="20"/>
    </row>
    <row r="69" spans="8:9" ht="15.75" customHeight="1" x14ac:dyDescent="0.25">
      <c r="H69" s="20"/>
      <c r="I69" s="20"/>
    </row>
    <row r="70" spans="8:9" ht="15.75" customHeight="1" x14ac:dyDescent="0.25">
      <c r="H70" s="20"/>
      <c r="I70" s="20"/>
    </row>
    <row r="71" spans="8:9" ht="15.75" customHeight="1" x14ac:dyDescent="0.25">
      <c r="H71" s="20"/>
      <c r="I71" s="20"/>
    </row>
    <row r="72" spans="8:9" ht="15.75" customHeight="1" x14ac:dyDescent="0.25">
      <c r="H72" s="20"/>
      <c r="I72" s="20"/>
    </row>
    <row r="73" spans="8:9" ht="15.75" customHeight="1" x14ac:dyDescent="0.25">
      <c r="H73" s="20"/>
      <c r="I73" s="20"/>
    </row>
    <row r="74" spans="8:9" ht="15.75" customHeight="1" x14ac:dyDescent="0.25">
      <c r="H74" s="20"/>
      <c r="I74" s="20"/>
    </row>
    <row r="75" spans="8:9" ht="15.75" customHeight="1" x14ac:dyDescent="0.25">
      <c r="H75" s="20"/>
      <c r="I75" s="20"/>
    </row>
    <row r="76" spans="8:9" ht="15.75" customHeight="1" x14ac:dyDescent="0.25">
      <c r="H76" s="20"/>
      <c r="I76" s="20"/>
    </row>
    <row r="77" spans="8:9" ht="15.75" customHeight="1" x14ac:dyDescent="0.25">
      <c r="H77" s="20"/>
      <c r="I77" s="20"/>
    </row>
    <row r="78" spans="8:9" ht="15.75" customHeight="1" x14ac:dyDescent="0.25">
      <c r="H78" s="20"/>
      <c r="I78" s="20"/>
    </row>
    <row r="79" spans="8:9" ht="15.75" customHeight="1" x14ac:dyDescent="0.25">
      <c r="H79" s="20"/>
      <c r="I79" s="20"/>
    </row>
    <row r="80" spans="8:9" ht="15.75" customHeight="1" x14ac:dyDescent="0.25">
      <c r="H80" s="20"/>
      <c r="I80" s="20"/>
    </row>
    <row r="81" spans="8:9" ht="15.75" customHeight="1" x14ac:dyDescent="0.25">
      <c r="H81" s="20"/>
      <c r="I81" s="20"/>
    </row>
    <row r="82" spans="8:9" ht="15.75" customHeight="1" x14ac:dyDescent="0.25">
      <c r="H82" s="20"/>
      <c r="I82" s="20"/>
    </row>
    <row r="83" spans="8:9" ht="15.75" customHeight="1" x14ac:dyDescent="0.25">
      <c r="H83" s="20"/>
      <c r="I83" s="20"/>
    </row>
    <row r="84" spans="8:9" ht="15.75" customHeight="1" x14ac:dyDescent="0.25">
      <c r="H84" s="20"/>
      <c r="I84" s="20"/>
    </row>
    <row r="85" spans="8:9" ht="15.75" customHeight="1" x14ac:dyDescent="0.25">
      <c r="H85" s="20"/>
      <c r="I85" s="20"/>
    </row>
    <row r="86" spans="8:9" ht="15.75" customHeight="1" x14ac:dyDescent="0.25">
      <c r="H86" s="20"/>
      <c r="I86" s="20"/>
    </row>
    <row r="87" spans="8:9" ht="15.75" customHeight="1" x14ac:dyDescent="0.25">
      <c r="H87" s="20"/>
      <c r="I87" s="20"/>
    </row>
    <row r="88" spans="8:9" ht="15.75" customHeight="1" x14ac:dyDescent="0.25">
      <c r="H88" s="20"/>
      <c r="I88" s="20"/>
    </row>
    <row r="89" spans="8:9" ht="15.75" customHeight="1" x14ac:dyDescent="0.25">
      <c r="H89" s="20"/>
      <c r="I89" s="20"/>
    </row>
    <row r="90" spans="8:9" ht="15.75" customHeight="1" x14ac:dyDescent="0.25">
      <c r="H90" s="20"/>
      <c r="I90" s="20"/>
    </row>
    <row r="91" spans="8:9" ht="15.75" customHeight="1" x14ac:dyDescent="0.25">
      <c r="H91" s="20"/>
      <c r="I91" s="20"/>
    </row>
    <row r="92" spans="8:9" ht="15.75" customHeight="1" x14ac:dyDescent="0.25">
      <c r="H92" s="20"/>
      <c r="I92" s="20"/>
    </row>
    <row r="93" spans="8:9" ht="15.75" customHeight="1" x14ac:dyDescent="0.25">
      <c r="H93" s="20"/>
      <c r="I93" s="20"/>
    </row>
    <row r="94" spans="8:9" ht="15.75" customHeight="1" x14ac:dyDescent="0.25">
      <c r="H94" s="20"/>
      <c r="I94" s="20"/>
    </row>
    <row r="95" spans="8:9" ht="15.75" customHeight="1" x14ac:dyDescent="0.25">
      <c r="H95" s="20"/>
      <c r="I95" s="20"/>
    </row>
    <row r="96" spans="8:9" ht="15.75" customHeight="1" x14ac:dyDescent="0.25">
      <c r="H96" s="20"/>
      <c r="I96" s="20"/>
    </row>
    <row r="97" spans="8:9" ht="15.75" customHeight="1" x14ac:dyDescent="0.25">
      <c r="H97" s="20"/>
      <c r="I97" s="20"/>
    </row>
    <row r="98" spans="8:9" ht="15.75" customHeight="1" x14ac:dyDescent="0.25">
      <c r="H98" s="20"/>
      <c r="I98" s="20"/>
    </row>
    <row r="99" spans="8:9" ht="15.75" customHeight="1" x14ac:dyDescent="0.25">
      <c r="H99" s="20"/>
      <c r="I99" s="20"/>
    </row>
    <row r="100" spans="8:9" ht="15.75" customHeight="1" x14ac:dyDescent="0.25">
      <c r="H100" s="20"/>
      <c r="I100" s="20"/>
    </row>
    <row r="101" spans="8:9" ht="15.75" customHeight="1" x14ac:dyDescent="0.25">
      <c r="H101" s="20"/>
      <c r="I101" s="20"/>
    </row>
    <row r="102" spans="8:9" ht="15.75" customHeight="1" x14ac:dyDescent="0.25">
      <c r="H102" s="20"/>
      <c r="I102" s="20"/>
    </row>
    <row r="103" spans="8:9" ht="15.75" customHeight="1" x14ac:dyDescent="0.25">
      <c r="H103" s="20"/>
      <c r="I103" s="20"/>
    </row>
    <row r="104" spans="8:9" ht="15.75" customHeight="1" x14ac:dyDescent="0.25">
      <c r="H104" s="20"/>
      <c r="I104" s="20"/>
    </row>
    <row r="105" spans="8:9" ht="15.75" customHeight="1" x14ac:dyDescent="0.25">
      <c r="H105" s="20"/>
      <c r="I105" s="20"/>
    </row>
    <row r="106" spans="8:9" ht="15.75" customHeight="1" x14ac:dyDescent="0.25">
      <c r="H106" s="20"/>
      <c r="I106" s="20"/>
    </row>
    <row r="107" spans="8:9" ht="15.75" customHeight="1" x14ac:dyDescent="0.25">
      <c r="H107" s="20"/>
      <c r="I107" s="20"/>
    </row>
    <row r="108" spans="8:9" ht="15.75" customHeight="1" x14ac:dyDescent="0.25">
      <c r="H108" s="20"/>
      <c r="I108" s="20"/>
    </row>
    <row r="109" spans="8:9" ht="15.75" customHeight="1" x14ac:dyDescent="0.25">
      <c r="H109" s="20"/>
      <c r="I109" s="20"/>
    </row>
    <row r="110" spans="8:9" ht="15.75" customHeight="1" x14ac:dyDescent="0.25">
      <c r="H110" s="20"/>
      <c r="I110" s="20"/>
    </row>
    <row r="111" spans="8:9" ht="15.75" customHeight="1" x14ac:dyDescent="0.25">
      <c r="H111" s="20"/>
      <c r="I111" s="20"/>
    </row>
    <row r="112" spans="8:9" ht="15.75" customHeight="1" x14ac:dyDescent="0.25">
      <c r="H112" s="20"/>
      <c r="I112" s="20"/>
    </row>
    <row r="113" spans="8:9" ht="15.75" customHeight="1" x14ac:dyDescent="0.25">
      <c r="H113" s="20"/>
      <c r="I113" s="20"/>
    </row>
    <row r="114" spans="8:9" ht="15.75" customHeight="1" x14ac:dyDescent="0.25">
      <c r="H114" s="20"/>
      <c r="I114" s="20"/>
    </row>
    <row r="115" spans="8:9" ht="15.75" customHeight="1" x14ac:dyDescent="0.25">
      <c r="H115" s="20"/>
      <c r="I115" s="20"/>
    </row>
    <row r="116" spans="8:9" ht="15.75" customHeight="1" x14ac:dyDescent="0.25">
      <c r="H116" s="20"/>
      <c r="I116" s="20"/>
    </row>
    <row r="117" spans="8:9" ht="15.75" customHeight="1" x14ac:dyDescent="0.25">
      <c r="H117" s="20"/>
      <c r="I117" s="20"/>
    </row>
    <row r="118" spans="8:9" ht="15.75" customHeight="1" x14ac:dyDescent="0.25">
      <c r="H118" s="20"/>
      <c r="I118" s="20"/>
    </row>
    <row r="119" spans="8:9" ht="15.75" customHeight="1" x14ac:dyDescent="0.25">
      <c r="H119" s="20"/>
      <c r="I119" s="20"/>
    </row>
    <row r="120" spans="8:9" ht="15.75" customHeight="1" x14ac:dyDescent="0.25">
      <c r="H120" s="20"/>
      <c r="I120" s="20"/>
    </row>
    <row r="121" spans="8:9" ht="15.75" customHeight="1" x14ac:dyDescent="0.25">
      <c r="H121" s="20"/>
      <c r="I121" s="20"/>
    </row>
    <row r="122" spans="8:9" ht="15.75" customHeight="1" x14ac:dyDescent="0.25">
      <c r="H122" s="20"/>
      <c r="I122" s="20"/>
    </row>
    <row r="123" spans="8:9" ht="15.75" customHeight="1" x14ac:dyDescent="0.25">
      <c r="H123" s="20"/>
      <c r="I123" s="20"/>
    </row>
    <row r="124" spans="8:9" ht="15.75" customHeight="1" x14ac:dyDescent="0.25">
      <c r="H124" s="20"/>
      <c r="I124" s="20"/>
    </row>
    <row r="125" spans="8:9" ht="15.75" customHeight="1" x14ac:dyDescent="0.25">
      <c r="H125" s="20"/>
      <c r="I125" s="20"/>
    </row>
    <row r="126" spans="8:9" ht="15.75" customHeight="1" x14ac:dyDescent="0.25">
      <c r="H126" s="20"/>
      <c r="I126" s="20"/>
    </row>
    <row r="127" spans="8:9" ht="15.75" customHeight="1" x14ac:dyDescent="0.25">
      <c r="H127" s="20"/>
      <c r="I127" s="20"/>
    </row>
    <row r="128" spans="8:9" ht="15.75" customHeight="1" x14ac:dyDescent="0.25">
      <c r="H128" s="20"/>
      <c r="I128" s="20"/>
    </row>
    <row r="129" spans="8:9" ht="15.75" customHeight="1" x14ac:dyDescent="0.25">
      <c r="H129" s="20"/>
      <c r="I129" s="20"/>
    </row>
    <row r="130" spans="8:9" ht="15.75" customHeight="1" x14ac:dyDescent="0.25">
      <c r="H130" s="20"/>
      <c r="I130" s="20"/>
    </row>
    <row r="131" spans="8:9" ht="15.75" customHeight="1" x14ac:dyDescent="0.25">
      <c r="H131" s="20"/>
      <c r="I131" s="20"/>
    </row>
    <row r="132" spans="8:9" ht="15.75" customHeight="1" x14ac:dyDescent="0.25">
      <c r="H132" s="20"/>
      <c r="I132" s="20"/>
    </row>
    <row r="133" spans="8:9" ht="15.75" customHeight="1" x14ac:dyDescent="0.25">
      <c r="H133" s="20"/>
      <c r="I133" s="20"/>
    </row>
    <row r="134" spans="8:9" ht="15.75" customHeight="1" x14ac:dyDescent="0.25">
      <c r="H134" s="20"/>
      <c r="I134" s="20"/>
    </row>
    <row r="135" spans="8:9" ht="15.75" customHeight="1" x14ac:dyDescent="0.25">
      <c r="H135" s="20"/>
      <c r="I135" s="20"/>
    </row>
    <row r="136" spans="8:9" ht="15.75" customHeight="1" x14ac:dyDescent="0.25">
      <c r="H136" s="20"/>
      <c r="I136" s="20"/>
    </row>
    <row r="137" spans="8:9" ht="15.75" customHeight="1" x14ac:dyDescent="0.25">
      <c r="H137" s="20"/>
      <c r="I137" s="20"/>
    </row>
    <row r="138" spans="8:9" ht="15.75" customHeight="1" x14ac:dyDescent="0.25">
      <c r="H138" s="20"/>
      <c r="I138" s="20"/>
    </row>
    <row r="139" spans="8:9" ht="15.75" customHeight="1" x14ac:dyDescent="0.25">
      <c r="H139" s="20"/>
      <c r="I139" s="20"/>
    </row>
    <row r="140" spans="8:9" ht="15.75" customHeight="1" x14ac:dyDescent="0.25">
      <c r="H140" s="20"/>
      <c r="I140" s="20"/>
    </row>
    <row r="141" spans="8:9" ht="15.75" customHeight="1" x14ac:dyDescent="0.25">
      <c r="H141" s="20"/>
      <c r="I141" s="20"/>
    </row>
    <row r="142" spans="8:9" ht="15.75" customHeight="1" x14ac:dyDescent="0.25">
      <c r="H142" s="20"/>
      <c r="I142" s="20"/>
    </row>
    <row r="143" spans="8:9" ht="15.75" customHeight="1" x14ac:dyDescent="0.25">
      <c r="H143" s="20"/>
      <c r="I143" s="20"/>
    </row>
    <row r="144" spans="8:9" ht="15.75" customHeight="1" x14ac:dyDescent="0.25">
      <c r="H144" s="20"/>
      <c r="I144" s="20"/>
    </row>
    <row r="145" spans="8:9" ht="15.75" customHeight="1" x14ac:dyDescent="0.25">
      <c r="H145" s="20"/>
      <c r="I145" s="20"/>
    </row>
    <row r="146" spans="8:9" ht="15.75" customHeight="1" x14ac:dyDescent="0.25">
      <c r="H146" s="20"/>
      <c r="I146" s="20"/>
    </row>
    <row r="147" spans="8:9" ht="15.75" customHeight="1" x14ac:dyDescent="0.25">
      <c r="H147" s="20"/>
      <c r="I147" s="20"/>
    </row>
    <row r="148" spans="8:9" ht="15.75" customHeight="1" x14ac:dyDescent="0.25">
      <c r="H148" s="20"/>
      <c r="I148" s="20"/>
    </row>
    <row r="149" spans="8:9" ht="15.75" customHeight="1" x14ac:dyDescent="0.25">
      <c r="H149" s="20"/>
      <c r="I149" s="20"/>
    </row>
    <row r="150" spans="8:9" ht="15.75" customHeight="1" x14ac:dyDescent="0.25">
      <c r="H150" s="20"/>
      <c r="I150" s="20"/>
    </row>
    <row r="151" spans="8:9" ht="15.75" customHeight="1" x14ac:dyDescent="0.25">
      <c r="H151" s="20"/>
      <c r="I151" s="20"/>
    </row>
    <row r="152" spans="8:9" ht="15.75" customHeight="1" x14ac:dyDescent="0.25">
      <c r="H152" s="20"/>
      <c r="I152" s="20"/>
    </row>
    <row r="153" spans="8:9" ht="15.75" customHeight="1" x14ac:dyDescent="0.25">
      <c r="H153" s="20"/>
      <c r="I153" s="20"/>
    </row>
    <row r="154" spans="8:9" ht="15.75" customHeight="1" x14ac:dyDescent="0.25">
      <c r="H154" s="20"/>
      <c r="I154" s="20"/>
    </row>
    <row r="155" spans="8:9" ht="15.75" customHeight="1" x14ac:dyDescent="0.25">
      <c r="H155" s="20"/>
      <c r="I155" s="20"/>
    </row>
    <row r="156" spans="8:9" ht="15.75" customHeight="1" x14ac:dyDescent="0.25">
      <c r="H156" s="20"/>
      <c r="I156" s="20"/>
    </row>
    <row r="157" spans="8:9" ht="15.75" customHeight="1" x14ac:dyDescent="0.25">
      <c r="H157" s="20"/>
      <c r="I157" s="20"/>
    </row>
    <row r="158" spans="8:9" ht="15.75" customHeight="1" x14ac:dyDescent="0.25">
      <c r="H158" s="20"/>
      <c r="I158" s="20"/>
    </row>
    <row r="159" spans="8:9" ht="15.75" customHeight="1" x14ac:dyDescent="0.25">
      <c r="H159" s="20"/>
      <c r="I159" s="20"/>
    </row>
    <row r="160" spans="8:9" ht="15.75" customHeight="1" x14ac:dyDescent="0.25">
      <c r="H160" s="20"/>
      <c r="I160" s="20"/>
    </row>
    <row r="161" spans="8:9" ht="15.75" customHeight="1" x14ac:dyDescent="0.25">
      <c r="H161" s="20"/>
      <c r="I161" s="20"/>
    </row>
    <row r="162" spans="8:9" ht="15.75" customHeight="1" x14ac:dyDescent="0.25">
      <c r="H162" s="20"/>
      <c r="I162" s="20"/>
    </row>
    <row r="163" spans="8:9" ht="15.75" customHeight="1" x14ac:dyDescent="0.25">
      <c r="H163" s="20"/>
      <c r="I163" s="20"/>
    </row>
    <row r="164" spans="8:9" ht="15.75" customHeight="1" x14ac:dyDescent="0.25">
      <c r="H164" s="20"/>
      <c r="I164" s="20"/>
    </row>
    <row r="165" spans="8:9" ht="15.75" customHeight="1" x14ac:dyDescent="0.25">
      <c r="H165" s="20"/>
      <c r="I165" s="20"/>
    </row>
    <row r="166" spans="8:9" ht="15.75" customHeight="1" x14ac:dyDescent="0.25">
      <c r="H166" s="20"/>
      <c r="I166" s="20"/>
    </row>
    <row r="167" spans="8:9" ht="15.75" customHeight="1" x14ac:dyDescent="0.25">
      <c r="H167" s="20"/>
      <c r="I167" s="20"/>
    </row>
    <row r="168" spans="8:9" ht="15.75" customHeight="1" x14ac:dyDescent="0.25">
      <c r="H168" s="20"/>
      <c r="I168" s="20"/>
    </row>
    <row r="169" spans="8:9" ht="15.75" customHeight="1" x14ac:dyDescent="0.25">
      <c r="H169" s="20"/>
      <c r="I169" s="20"/>
    </row>
    <row r="170" spans="8:9" ht="15.75" customHeight="1" x14ac:dyDescent="0.25">
      <c r="H170" s="20"/>
      <c r="I170" s="20"/>
    </row>
    <row r="171" spans="8:9" ht="15.75" customHeight="1" x14ac:dyDescent="0.25">
      <c r="H171" s="20"/>
      <c r="I171" s="20"/>
    </row>
    <row r="172" spans="8:9" ht="15.75" customHeight="1" x14ac:dyDescent="0.25">
      <c r="H172" s="20"/>
      <c r="I172" s="20"/>
    </row>
    <row r="173" spans="8:9" ht="15.75" customHeight="1" x14ac:dyDescent="0.25">
      <c r="H173" s="20"/>
      <c r="I173" s="20"/>
    </row>
    <row r="174" spans="8:9" ht="15.75" customHeight="1" x14ac:dyDescent="0.25">
      <c r="H174" s="20"/>
      <c r="I174" s="20"/>
    </row>
    <row r="175" spans="8:9" ht="15.75" customHeight="1" x14ac:dyDescent="0.25">
      <c r="H175" s="20"/>
      <c r="I175" s="20"/>
    </row>
    <row r="176" spans="8:9" ht="15.75" customHeight="1" x14ac:dyDescent="0.25">
      <c r="H176" s="20"/>
      <c r="I176" s="20"/>
    </row>
    <row r="177" spans="8:9" ht="15.75" customHeight="1" x14ac:dyDescent="0.25">
      <c r="H177" s="20"/>
      <c r="I177" s="20"/>
    </row>
    <row r="178" spans="8:9" ht="15.75" customHeight="1" x14ac:dyDescent="0.25">
      <c r="H178" s="20"/>
      <c r="I178" s="20"/>
    </row>
    <row r="179" spans="8:9" ht="15.75" customHeight="1" x14ac:dyDescent="0.25">
      <c r="H179" s="20"/>
      <c r="I179" s="20"/>
    </row>
    <row r="180" spans="8:9" ht="15.75" customHeight="1" x14ac:dyDescent="0.25">
      <c r="H180" s="20"/>
      <c r="I180" s="20"/>
    </row>
    <row r="181" spans="8:9" ht="15.75" customHeight="1" x14ac:dyDescent="0.25">
      <c r="H181" s="20"/>
      <c r="I181" s="20"/>
    </row>
    <row r="182" spans="8:9" ht="15.75" customHeight="1" x14ac:dyDescent="0.25">
      <c r="H182" s="20"/>
      <c r="I182" s="20"/>
    </row>
    <row r="183" spans="8:9" ht="15.75" customHeight="1" x14ac:dyDescent="0.25">
      <c r="H183" s="20"/>
      <c r="I183" s="20"/>
    </row>
    <row r="184" spans="8:9" ht="15.75" customHeight="1" x14ac:dyDescent="0.25">
      <c r="H184" s="20"/>
      <c r="I184" s="20"/>
    </row>
    <row r="185" spans="8:9" ht="15.75" customHeight="1" x14ac:dyDescent="0.25">
      <c r="H185" s="20"/>
      <c r="I185" s="20"/>
    </row>
    <row r="186" spans="8:9" ht="15.75" customHeight="1" x14ac:dyDescent="0.25">
      <c r="H186" s="20"/>
      <c r="I186" s="20"/>
    </row>
    <row r="187" spans="8:9" ht="15.75" customHeight="1" x14ac:dyDescent="0.25">
      <c r="H187" s="20"/>
      <c r="I187" s="20"/>
    </row>
    <row r="188" spans="8:9" ht="15.75" customHeight="1" x14ac:dyDescent="0.25">
      <c r="H188" s="20"/>
      <c r="I188" s="20"/>
    </row>
    <row r="189" spans="8:9" ht="15.75" customHeight="1" x14ac:dyDescent="0.25">
      <c r="H189" s="20"/>
      <c r="I189" s="20"/>
    </row>
    <row r="190" spans="8:9" ht="15.75" customHeight="1" x14ac:dyDescent="0.25">
      <c r="H190" s="20"/>
      <c r="I190" s="20"/>
    </row>
    <row r="191" spans="8:9" ht="15.75" customHeight="1" x14ac:dyDescent="0.25">
      <c r="H191" s="20"/>
      <c r="I191" s="20"/>
    </row>
    <row r="192" spans="8:9" ht="15.75" customHeight="1" x14ac:dyDescent="0.25">
      <c r="H192" s="20"/>
      <c r="I192" s="20"/>
    </row>
    <row r="193" spans="8:9" ht="15.75" customHeight="1" x14ac:dyDescent="0.25">
      <c r="H193" s="20"/>
      <c r="I193" s="20"/>
    </row>
    <row r="194" spans="8:9" ht="15.75" customHeight="1" x14ac:dyDescent="0.25">
      <c r="H194" s="20"/>
      <c r="I194" s="20"/>
    </row>
    <row r="195" spans="8:9" ht="15.75" customHeight="1" x14ac:dyDescent="0.25">
      <c r="H195" s="20"/>
      <c r="I195" s="20"/>
    </row>
    <row r="196" spans="8:9" ht="15.75" customHeight="1" x14ac:dyDescent="0.25">
      <c r="H196" s="20"/>
      <c r="I196" s="20"/>
    </row>
    <row r="197" spans="8:9" ht="15.75" customHeight="1" x14ac:dyDescent="0.25">
      <c r="H197" s="20"/>
      <c r="I197" s="20"/>
    </row>
    <row r="198" spans="8:9" ht="15.75" customHeight="1" x14ac:dyDescent="0.25">
      <c r="H198" s="20"/>
      <c r="I198" s="20"/>
    </row>
    <row r="199" spans="8:9" ht="15.75" customHeight="1" x14ac:dyDescent="0.25">
      <c r="H199" s="20"/>
      <c r="I199" s="20"/>
    </row>
    <row r="200" spans="8:9" ht="15.75" customHeight="1" x14ac:dyDescent="0.25">
      <c r="H200" s="20"/>
      <c r="I200" s="20"/>
    </row>
    <row r="201" spans="8:9" ht="15.75" customHeight="1" x14ac:dyDescent="0.25">
      <c r="H201" s="20"/>
      <c r="I201" s="20"/>
    </row>
    <row r="202" spans="8:9" ht="15.75" customHeight="1" x14ac:dyDescent="0.25">
      <c r="H202" s="20"/>
      <c r="I202" s="20"/>
    </row>
    <row r="203" spans="8:9" ht="15.75" customHeight="1" x14ac:dyDescent="0.25">
      <c r="H203" s="20"/>
      <c r="I203" s="20"/>
    </row>
    <row r="204" spans="8:9" ht="15.75" customHeight="1" x14ac:dyDescent="0.25">
      <c r="H204" s="20"/>
      <c r="I204" s="20"/>
    </row>
    <row r="205" spans="8:9" ht="15.75" customHeight="1" x14ac:dyDescent="0.25">
      <c r="H205" s="20"/>
      <c r="I205" s="20"/>
    </row>
    <row r="206" spans="8:9" ht="15.75" customHeight="1" x14ac:dyDescent="0.25">
      <c r="H206" s="20"/>
      <c r="I206" s="20"/>
    </row>
    <row r="207" spans="8:9" ht="15.75" customHeight="1" x14ac:dyDescent="0.25">
      <c r="H207" s="20"/>
      <c r="I207" s="20"/>
    </row>
    <row r="208" spans="8:9" ht="15.75" customHeight="1" x14ac:dyDescent="0.25">
      <c r="H208" s="20"/>
      <c r="I208" s="20"/>
    </row>
    <row r="209" spans="8:9" ht="15.75" customHeight="1" x14ac:dyDescent="0.25">
      <c r="H209" s="20"/>
      <c r="I209" s="20"/>
    </row>
    <row r="210" spans="8:9" ht="15.75" customHeight="1" x14ac:dyDescent="0.25">
      <c r="H210" s="20"/>
      <c r="I210" s="20"/>
    </row>
    <row r="211" spans="8:9" ht="15.75" customHeight="1" x14ac:dyDescent="0.25">
      <c r="H211" s="20"/>
      <c r="I211" s="20"/>
    </row>
    <row r="212" spans="8:9" ht="15.75" customHeight="1" x14ac:dyDescent="0.25">
      <c r="H212" s="20"/>
      <c r="I212" s="20"/>
    </row>
    <row r="213" spans="8:9" ht="15.75" customHeight="1" x14ac:dyDescent="0.25">
      <c r="H213" s="20"/>
      <c r="I213" s="20"/>
    </row>
    <row r="214" spans="8:9" ht="15.75" customHeight="1" x14ac:dyDescent="0.25">
      <c r="H214" s="20"/>
      <c r="I214" s="20"/>
    </row>
    <row r="215" spans="8:9" ht="15.75" customHeight="1" x14ac:dyDescent="0.25">
      <c r="H215" s="20"/>
      <c r="I215" s="20"/>
    </row>
    <row r="216" spans="8:9" ht="15.75" customHeight="1" x14ac:dyDescent="0.25">
      <c r="H216" s="20"/>
      <c r="I216" s="20"/>
    </row>
    <row r="217" spans="8:9" ht="15.75" customHeight="1" x14ac:dyDescent="0.25">
      <c r="H217" s="20"/>
      <c r="I217" s="20"/>
    </row>
    <row r="218" spans="8:9" ht="15.75" customHeight="1" x14ac:dyDescent="0.25">
      <c r="H218" s="20"/>
      <c r="I218" s="20"/>
    </row>
    <row r="219" spans="8:9" ht="15.75" customHeight="1" x14ac:dyDescent="0.25">
      <c r="H219" s="20"/>
      <c r="I219" s="20"/>
    </row>
    <row r="220" spans="8:9" ht="15.75" customHeight="1" x14ac:dyDescent="0.25">
      <c r="H220" s="20"/>
      <c r="I220" s="20"/>
    </row>
    <row r="221" spans="8:9" ht="15.75" customHeight="1" x14ac:dyDescent="0.25">
      <c r="H221" s="20"/>
      <c r="I221" s="20"/>
    </row>
    <row r="222" spans="8:9" ht="15.75" customHeight="1" x14ac:dyDescent="0.25">
      <c r="H222" s="20"/>
      <c r="I222" s="20"/>
    </row>
    <row r="223" spans="8:9" ht="15.75" customHeight="1" x14ac:dyDescent="0.25">
      <c r="H223" s="20"/>
      <c r="I223" s="20"/>
    </row>
    <row r="224" spans="8:9" ht="15.75" customHeight="1" x14ac:dyDescent="0.25">
      <c r="H224" s="20"/>
      <c r="I224" s="20"/>
    </row>
    <row r="225" spans="8:9" ht="15.75" customHeight="1" x14ac:dyDescent="0.25">
      <c r="H225" s="20"/>
      <c r="I225" s="20"/>
    </row>
    <row r="226" spans="8:9" ht="15.75" customHeight="1" x14ac:dyDescent="0.25">
      <c r="H226" s="20"/>
      <c r="I226" s="20"/>
    </row>
    <row r="227" spans="8:9" ht="15.75" customHeight="1" x14ac:dyDescent="0.25">
      <c r="H227" s="20"/>
      <c r="I227" s="20"/>
    </row>
    <row r="228" spans="8:9" ht="15.75" customHeight="1" x14ac:dyDescent="0.25">
      <c r="H228" s="20"/>
      <c r="I228" s="20"/>
    </row>
    <row r="229" spans="8:9" ht="15.75" customHeight="1" x14ac:dyDescent="0.25">
      <c r="H229" s="20"/>
      <c r="I229" s="20"/>
    </row>
    <row r="230" spans="8:9" ht="15.75" customHeight="1" x14ac:dyDescent="0.25">
      <c r="H230" s="20"/>
      <c r="I230" s="20"/>
    </row>
    <row r="231" spans="8:9" ht="15.75" customHeight="1" x14ac:dyDescent="0.25">
      <c r="H231" s="20"/>
      <c r="I231" s="20"/>
    </row>
    <row r="232" spans="8:9" ht="15.75" customHeight="1" x14ac:dyDescent="0.25">
      <c r="H232" s="20"/>
      <c r="I232" s="20"/>
    </row>
    <row r="233" spans="8:9" ht="15.75" customHeight="1" x14ac:dyDescent="0.25">
      <c r="H233" s="20"/>
      <c r="I233" s="20"/>
    </row>
    <row r="234" spans="8:9" ht="15.75" customHeight="1" x14ac:dyDescent="0.25">
      <c r="H234" s="20"/>
      <c r="I234" s="20"/>
    </row>
    <row r="235" spans="8:9" ht="15.75" customHeight="1" x14ac:dyDescent="0.25">
      <c r="H235" s="20"/>
      <c r="I235" s="20"/>
    </row>
    <row r="236" spans="8:9" ht="15.75" customHeight="1" x14ac:dyDescent="0.25">
      <c r="H236" s="20"/>
      <c r="I236" s="20"/>
    </row>
    <row r="237" spans="8:9" ht="15.75" customHeight="1" x14ac:dyDescent="0.25">
      <c r="H237" s="20"/>
      <c r="I237" s="20"/>
    </row>
    <row r="238" spans="8:9" ht="15.75" customHeight="1" x14ac:dyDescent="0.25">
      <c r="H238" s="20"/>
      <c r="I238" s="20"/>
    </row>
    <row r="239" spans="8:9" ht="15.75" customHeight="1" x14ac:dyDescent="0.25">
      <c r="H239" s="20"/>
      <c r="I239" s="20"/>
    </row>
    <row r="240" spans="8:9" ht="15.75" customHeight="1" x14ac:dyDescent="0.25">
      <c r="H240" s="20"/>
      <c r="I240" s="20"/>
    </row>
    <row r="241" spans="8:9" ht="15.75" customHeight="1" x14ac:dyDescent="0.25">
      <c r="H241" s="20"/>
      <c r="I241" s="20"/>
    </row>
    <row r="242" spans="8:9" ht="15.75" customHeight="1" x14ac:dyDescent="0.25">
      <c r="H242" s="20"/>
      <c r="I242" s="20"/>
    </row>
    <row r="243" spans="8:9" ht="15.75" customHeight="1" x14ac:dyDescent="0.25">
      <c r="H243" s="20"/>
      <c r="I243" s="20"/>
    </row>
    <row r="244" spans="8:9" ht="15.75" customHeight="1" x14ac:dyDescent="0.25">
      <c r="H244" s="20"/>
      <c r="I244" s="20"/>
    </row>
    <row r="245" spans="8:9" ht="15.75" customHeight="1" x14ac:dyDescent="0.25">
      <c r="H245" s="20"/>
      <c r="I245" s="20"/>
    </row>
    <row r="246" spans="8:9" ht="15.75" customHeight="1" x14ac:dyDescent="0.25">
      <c r="H246" s="20"/>
      <c r="I246" s="20"/>
    </row>
    <row r="247" spans="8:9" ht="15.75" customHeight="1" x14ac:dyDescent="0.25">
      <c r="H247" s="20"/>
      <c r="I247" s="20"/>
    </row>
    <row r="248" spans="8:9" ht="15.75" customHeight="1" x14ac:dyDescent="0.25">
      <c r="H248" s="20"/>
      <c r="I248" s="20"/>
    </row>
    <row r="249" spans="8:9" ht="15.75" customHeight="1" x14ac:dyDescent="0.25">
      <c r="H249" s="20"/>
      <c r="I249" s="20"/>
    </row>
    <row r="250" spans="8:9" ht="15.75" customHeight="1" x14ac:dyDescent="0.25">
      <c r="H250" s="20"/>
      <c r="I250" s="20"/>
    </row>
    <row r="251" spans="8:9" ht="15.75" customHeight="1" x14ac:dyDescent="0.25">
      <c r="H251" s="20"/>
      <c r="I251" s="20"/>
    </row>
    <row r="252" spans="8:9" ht="15.75" customHeight="1" x14ac:dyDescent="0.25">
      <c r="H252" s="20"/>
      <c r="I252" s="20"/>
    </row>
    <row r="253" spans="8:9" ht="15.75" customHeight="1" x14ac:dyDescent="0.25">
      <c r="H253" s="20"/>
      <c r="I253" s="20"/>
    </row>
    <row r="254" spans="8:9" ht="15.75" customHeight="1" x14ac:dyDescent="0.25">
      <c r="H254" s="20"/>
      <c r="I254" s="20"/>
    </row>
    <row r="255" spans="8:9" ht="15.75" customHeight="1" x14ac:dyDescent="0.25">
      <c r="H255" s="20"/>
      <c r="I255" s="20"/>
    </row>
    <row r="256" spans="8:9" ht="15.75" customHeight="1" x14ac:dyDescent="0.25">
      <c r="H256" s="20"/>
      <c r="I256" s="20"/>
    </row>
    <row r="257" spans="8:9" ht="15.75" customHeight="1" x14ac:dyDescent="0.25">
      <c r="H257" s="20"/>
      <c r="I257" s="20"/>
    </row>
    <row r="258" spans="8:9" ht="15.75" customHeight="1" x14ac:dyDescent="0.25">
      <c r="H258" s="20"/>
      <c r="I258" s="20"/>
    </row>
    <row r="259" spans="8:9" ht="15.75" customHeight="1" x14ac:dyDescent="0.25">
      <c r="H259" s="20"/>
      <c r="I259" s="20"/>
    </row>
    <row r="260" spans="8:9" ht="15.75" customHeight="1" x14ac:dyDescent="0.25">
      <c r="H260" s="20"/>
      <c r="I260" s="20"/>
    </row>
    <row r="261" spans="8:9" ht="15.75" customHeight="1" x14ac:dyDescent="0.25">
      <c r="H261" s="20"/>
      <c r="I261" s="20"/>
    </row>
    <row r="262" spans="8:9" ht="15.75" customHeight="1" x14ac:dyDescent="0.25">
      <c r="H262" s="20"/>
      <c r="I262" s="20"/>
    </row>
    <row r="263" spans="8:9" ht="15.75" customHeight="1" x14ac:dyDescent="0.25">
      <c r="H263" s="20"/>
      <c r="I263" s="20"/>
    </row>
    <row r="264" spans="8:9" ht="15.75" customHeight="1" x14ac:dyDescent="0.25">
      <c r="H264" s="20"/>
      <c r="I264" s="20"/>
    </row>
    <row r="265" spans="8:9" ht="15.75" customHeight="1" x14ac:dyDescent="0.25">
      <c r="H265" s="20"/>
      <c r="I265" s="20"/>
    </row>
    <row r="266" spans="8:9" ht="15.75" customHeight="1" x14ac:dyDescent="0.25">
      <c r="H266" s="20"/>
      <c r="I266" s="20"/>
    </row>
    <row r="267" spans="8:9" ht="15.75" customHeight="1" x14ac:dyDescent="0.25">
      <c r="H267" s="20"/>
      <c r="I267" s="20"/>
    </row>
    <row r="268" spans="8:9" ht="15.75" customHeight="1" x14ac:dyDescent="0.25">
      <c r="H268" s="20"/>
      <c r="I268" s="20"/>
    </row>
    <row r="269" spans="8:9" ht="15.75" customHeight="1" x14ac:dyDescent="0.25">
      <c r="H269" s="20"/>
      <c r="I269" s="20"/>
    </row>
    <row r="270" spans="8:9" ht="15.75" customHeight="1" x14ac:dyDescent="0.25">
      <c r="H270" s="20"/>
      <c r="I270" s="20"/>
    </row>
    <row r="271" spans="8:9" ht="15.75" customHeight="1" x14ac:dyDescent="0.25">
      <c r="H271" s="20"/>
      <c r="I271" s="20"/>
    </row>
    <row r="272" spans="8:9" ht="15.75" customHeight="1" x14ac:dyDescent="0.25">
      <c r="H272" s="20"/>
      <c r="I272" s="20"/>
    </row>
    <row r="273" spans="8:9" ht="15.75" customHeight="1" x14ac:dyDescent="0.25">
      <c r="H273" s="20"/>
      <c r="I273" s="20"/>
    </row>
    <row r="274" spans="8:9" ht="15.75" customHeight="1" x14ac:dyDescent="0.25">
      <c r="H274" s="20"/>
      <c r="I274" s="20"/>
    </row>
    <row r="275" spans="8:9" ht="15.75" customHeight="1" x14ac:dyDescent="0.25">
      <c r="H275" s="20"/>
      <c r="I275" s="20"/>
    </row>
    <row r="276" spans="8:9" ht="15.75" customHeight="1" x14ac:dyDescent="0.25">
      <c r="H276" s="20"/>
      <c r="I276" s="20"/>
    </row>
    <row r="277" spans="8:9" ht="15.75" customHeight="1" x14ac:dyDescent="0.25">
      <c r="H277" s="20"/>
      <c r="I277" s="20"/>
    </row>
    <row r="278" spans="8:9" ht="15.75" customHeight="1" x14ac:dyDescent="0.25">
      <c r="H278" s="20"/>
      <c r="I278" s="20"/>
    </row>
    <row r="279" spans="8:9" ht="15.75" customHeight="1" x14ac:dyDescent="0.25">
      <c r="H279" s="20"/>
      <c r="I279" s="20"/>
    </row>
    <row r="280" spans="8:9" ht="15.75" customHeight="1" x14ac:dyDescent="0.25">
      <c r="H280" s="20"/>
      <c r="I280" s="20"/>
    </row>
    <row r="281" spans="8:9" ht="15.75" customHeight="1" x14ac:dyDescent="0.25">
      <c r="H281" s="20"/>
      <c r="I281" s="20"/>
    </row>
    <row r="282" spans="8:9" ht="15.75" customHeight="1" x14ac:dyDescent="0.25">
      <c r="H282" s="20"/>
      <c r="I282" s="20"/>
    </row>
    <row r="283" spans="8:9" ht="15.75" customHeight="1" x14ac:dyDescent="0.25">
      <c r="H283" s="20"/>
      <c r="I283" s="20"/>
    </row>
    <row r="284" spans="8:9" ht="15.75" customHeight="1" x14ac:dyDescent="0.25">
      <c r="H284" s="20"/>
      <c r="I284" s="20"/>
    </row>
    <row r="285" spans="8:9" ht="15.75" customHeight="1" x14ac:dyDescent="0.25">
      <c r="H285" s="20"/>
      <c r="I285" s="20"/>
    </row>
    <row r="286" spans="8:9" ht="15.75" customHeight="1" x14ac:dyDescent="0.25">
      <c r="H286" s="20"/>
      <c r="I286" s="20"/>
    </row>
    <row r="287" spans="8:9" ht="15.75" customHeight="1" x14ac:dyDescent="0.25">
      <c r="H287" s="20"/>
      <c r="I287" s="20"/>
    </row>
    <row r="288" spans="8:9" ht="15.75" customHeight="1" x14ac:dyDescent="0.25">
      <c r="H288" s="20"/>
      <c r="I288" s="20"/>
    </row>
    <row r="289" spans="8:9" ht="15.75" customHeight="1" x14ac:dyDescent="0.25">
      <c r="H289" s="20"/>
      <c r="I289" s="20"/>
    </row>
    <row r="290" spans="8:9" ht="15.75" customHeight="1" x14ac:dyDescent="0.25">
      <c r="H290" s="20"/>
      <c r="I290" s="20"/>
    </row>
    <row r="291" spans="8:9" ht="15.75" customHeight="1" x14ac:dyDescent="0.25">
      <c r="H291" s="20"/>
      <c r="I291" s="20"/>
    </row>
    <row r="292" spans="8:9" ht="15.75" customHeight="1" x14ac:dyDescent="0.25">
      <c r="H292" s="20"/>
      <c r="I292" s="20"/>
    </row>
    <row r="293" spans="8:9" ht="15.75" customHeight="1" x14ac:dyDescent="0.25">
      <c r="H293" s="20"/>
      <c r="I293" s="20"/>
    </row>
    <row r="294" spans="8:9" ht="15.75" customHeight="1" x14ac:dyDescent="0.25">
      <c r="H294" s="20"/>
      <c r="I294" s="20"/>
    </row>
    <row r="295" spans="8:9" ht="15.75" customHeight="1" x14ac:dyDescent="0.25">
      <c r="H295" s="20"/>
      <c r="I295" s="20"/>
    </row>
    <row r="296" spans="8:9" ht="15.75" customHeight="1" x14ac:dyDescent="0.25">
      <c r="H296" s="20"/>
      <c r="I296" s="20"/>
    </row>
    <row r="297" spans="8:9" ht="15.75" customHeight="1" x14ac:dyDescent="0.25">
      <c r="H297" s="20"/>
      <c r="I297" s="20"/>
    </row>
    <row r="298" spans="8:9" ht="15.75" customHeight="1" x14ac:dyDescent="0.25">
      <c r="H298" s="20"/>
      <c r="I298" s="20"/>
    </row>
    <row r="299" spans="8:9" ht="15.75" customHeight="1" x14ac:dyDescent="0.25">
      <c r="H299" s="20"/>
      <c r="I299" s="20"/>
    </row>
    <row r="300" spans="8:9" ht="15.75" customHeight="1" x14ac:dyDescent="0.25">
      <c r="H300" s="20"/>
      <c r="I300" s="20"/>
    </row>
    <row r="301" spans="8:9" ht="15.75" customHeight="1" x14ac:dyDescent="0.25">
      <c r="H301" s="20"/>
      <c r="I301" s="20"/>
    </row>
    <row r="302" spans="8:9" ht="15.75" customHeight="1" x14ac:dyDescent="0.25">
      <c r="H302" s="20"/>
      <c r="I302" s="20"/>
    </row>
    <row r="303" spans="8:9" ht="15.75" customHeight="1" x14ac:dyDescent="0.25">
      <c r="H303" s="20"/>
      <c r="I303" s="20"/>
    </row>
    <row r="304" spans="8:9" ht="15.75" customHeight="1" x14ac:dyDescent="0.25">
      <c r="H304" s="20"/>
      <c r="I304" s="20"/>
    </row>
    <row r="305" spans="8:9" ht="15.75" customHeight="1" x14ac:dyDescent="0.25">
      <c r="H305" s="20"/>
      <c r="I305" s="20"/>
    </row>
    <row r="306" spans="8:9" ht="15.75" customHeight="1" x14ac:dyDescent="0.25">
      <c r="H306" s="20"/>
      <c r="I306" s="20"/>
    </row>
    <row r="307" spans="8:9" ht="15.75" customHeight="1" x14ac:dyDescent="0.25">
      <c r="H307" s="20"/>
      <c r="I307" s="20"/>
    </row>
    <row r="308" spans="8:9" ht="15.75" customHeight="1" x14ac:dyDescent="0.25">
      <c r="H308" s="20"/>
      <c r="I308" s="20"/>
    </row>
    <row r="309" spans="8:9" ht="15.75" customHeight="1" x14ac:dyDescent="0.25">
      <c r="H309" s="20"/>
      <c r="I309" s="20"/>
    </row>
    <row r="310" spans="8:9" ht="15.75" customHeight="1" x14ac:dyDescent="0.25">
      <c r="H310" s="20"/>
      <c r="I310" s="20"/>
    </row>
    <row r="311" spans="8:9" ht="15.75" customHeight="1" x14ac:dyDescent="0.25">
      <c r="H311" s="20"/>
      <c r="I311" s="20"/>
    </row>
    <row r="312" spans="8:9" ht="15.75" customHeight="1" x14ac:dyDescent="0.25">
      <c r="H312" s="20"/>
      <c r="I312" s="20"/>
    </row>
    <row r="313" spans="8:9" ht="15.75" customHeight="1" x14ac:dyDescent="0.25">
      <c r="H313" s="20"/>
      <c r="I313" s="20"/>
    </row>
    <row r="314" spans="8:9" ht="15.75" customHeight="1" x14ac:dyDescent="0.25">
      <c r="H314" s="20"/>
      <c r="I314" s="20"/>
    </row>
    <row r="315" spans="8:9" ht="15.75" customHeight="1" x14ac:dyDescent="0.25">
      <c r="H315" s="20"/>
      <c r="I315" s="20"/>
    </row>
    <row r="316" spans="8:9" ht="15.75" customHeight="1" x14ac:dyDescent="0.25">
      <c r="H316" s="20"/>
      <c r="I316" s="20"/>
    </row>
    <row r="317" spans="8:9" ht="15.75" customHeight="1" x14ac:dyDescent="0.25">
      <c r="H317" s="20"/>
      <c r="I317" s="20"/>
    </row>
    <row r="318" spans="8:9" ht="15.75" customHeight="1" x14ac:dyDescent="0.25">
      <c r="H318" s="20"/>
      <c r="I318" s="20"/>
    </row>
    <row r="319" spans="8:9" ht="15.75" customHeight="1" x14ac:dyDescent="0.25">
      <c r="H319" s="20"/>
      <c r="I319" s="20"/>
    </row>
    <row r="320" spans="8:9" ht="15.75" customHeight="1" x14ac:dyDescent="0.25">
      <c r="H320" s="20"/>
      <c r="I320" s="20"/>
    </row>
    <row r="321" spans="8:9" ht="15.75" customHeight="1" x14ac:dyDescent="0.25">
      <c r="H321" s="20"/>
      <c r="I321" s="20"/>
    </row>
    <row r="322" spans="8:9" ht="15.75" customHeight="1" x14ac:dyDescent="0.25">
      <c r="H322" s="20"/>
      <c r="I322" s="20"/>
    </row>
    <row r="323" spans="8:9" ht="15.75" customHeight="1" x14ac:dyDescent="0.25">
      <c r="H323" s="20"/>
      <c r="I323" s="20"/>
    </row>
    <row r="324" spans="8:9" ht="15.75" customHeight="1" x14ac:dyDescent="0.25">
      <c r="H324" s="20"/>
      <c r="I324" s="20"/>
    </row>
    <row r="325" spans="8:9" ht="15.75" customHeight="1" x14ac:dyDescent="0.25">
      <c r="H325" s="20"/>
      <c r="I325" s="20"/>
    </row>
    <row r="326" spans="8:9" ht="15.75" customHeight="1" x14ac:dyDescent="0.25">
      <c r="H326" s="20"/>
      <c r="I326" s="20"/>
    </row>
    <row r="327" spans="8:9" ht="15.75" customHeight="1" x14ac:dyDescent="0.25">
      <c r="H327" s="20"/>
      <c r="I327" s="20"/>
    </row>
    <row r="328" spans="8:9" ht="15.75" customHeight="1" x14ac:dyDescent="0.25">
      <c r="H328" s="20"/>
      <c r="I328" s="20"/>
    </row>
    <row r="329" spans="8:9" ht="15.75" customHeight="1" x14ac:dyDescent="0.25">
      <c r="H329" s="20"/>
      <c r="I329" s="20"/>
    </row>
    <row r="330" spans="8:9" ht="15.75" customHeight="1" x14ac:dyDescent="0.25">
      <c r="H330" s="20"/>
      <c r="I330" s="20"/>
    </row>
    <row r="331" spans="8:9" ht="15.75" customHeight="1" x14ac:dyDescent="0.25">
      <c r="H331" s="20"/>
      <c r="I331" s="20"/>
    </row>
    <row r="332" spans="8:9" ht="15.75" customHeight="1" x14ac:dyDescent="0.25">
      <c r="H332" s="20"/>
      <c r="I332" s="20"/>
    </row>
    <row r="333" spans="8:9" ht="15.75" customHeight="1" x14ac:dyDescent="0.25">
      <c r="H333" s="20"/>
      <c r="I333" s="20"/>
    </row>
    <row r="334" spans="8:9" ht="15.75" customHeight="1" x14ac:dyDescent="0.25">
      <c r="H334" s="20"/>
      <c r="I334" s="20"/>
    </row>
    <row r="335" spans="8:9" ht="15.75" customHeight="1" x14ac:dyDescent="0.25">
      <c r="H335" s="20"/>
      <c r="I335" s="20"/>
    </row>
    <row r="336" spans="8:9" ht="15.75" customHeight="1" x14ac:dyDescent="0.25">
      <c r="H336" s="20"/>
      <c r="I336" s="20"/>
    </row>
    <row r="337" spans="8:9" ht="15.75" customHeight="1" x14ac:dyDescent="0.25">
      <c r="H337" s="20"/>
      <c r="I337" s="20"/>
    </row>
    <row r="338" spans="8:9" ht="15.75" customHeight="1" x14ac:dyDescent="0.25">
      <c r="H338" s="20"/>
      <c r="I338" s="20"/>
    </row>
    <row r="339" spans="8:9" ht="15.75" customHeight="1" x14ac:dyDescent="0.25">
      <c r="H339" s="20"/>
      <c r="I339" s="20"/>
    </row>
    <row r="340" spans="8:9" ht="15.75" customHeight="1" x14ac:dyDescent="0.25">
      <c r="H340" s="20"/>
      <c r="I340" s="20"/>
    </row>
    <row r="341" spans="8:9" ht="15.75" customHeight="1" x14ac:dyDescent="0.25">
      <c r="H341" s="20"/>
      <c r="I341" s="20"/>
    </row>
    <row r="342" spans="8:9" ht="15.75" customHeight="1" x14ac:dyDescent="0.25">
      <c r="H342" s="20"/>
      <c r="I342" s="20"/>
    </row>
    <row r="343" spans="8:9" ht="15.75" customHeight="1" x14ac:dyDescent="0.25">
      <c r="H343" s="20"/>
      <c r="I343" s="20"/>
    </row>
    <row r="344" spans="8:9" ht="15.75" customHeight="1" x14ac:dyDescent="0.25">
      <c r="H344" s="20"/>
      <c r="I344" s="20"/>
    </row>
    <row r="345" spans="8:9" ht="15.75" customHeight="1" x14ac:dyDescent="0.25">
      <c r="H345" s="20"/>
      <c r="I345" s="20"/>
    </row>
    <row r="346" spans="8:9" ht="15.75" customHeight="1" x14ac:dyDescent="0.25">
      <c r="H346" s="20"/>
      <c r="I346" s="20"/>
    </row>
    <row r="347" spans="8:9" ht="15.75" customHeight="1" x14ac:dyDescent="0.25">
      <c r="H347" s="20"/>
      <c r="I347" s="20"/>
    </row>
    <row r="348" spans="8:9" ht="15.75" customHeight="1" x14ac:dyDescent="0.25">
      <c r="H348" s="20"/>
      <c r="I348" s="20"/>
    </row>
    <row r="349" spans="8:9" ht="15.75" customHeight="1" x14ac:dyDescent="0.25">
      <c r="H349" s="20"/>
      <c r="I349" s="20"/>
    </row>
    <row r="350" spans="8:9" ht="15.75" customHeight="1" x14ac:dyDescent="0.25">
      <c r="H350" s="20"/>
      <c r="I350" s="20"/>
    </row>
    <row r="351" spans="8:9" ht="15.75" customHeight="1" x14ac:dyDescent="0.25">
      <c r="H351" s="20"/>
      <c r="I351" s="20"/>
    </row>
    <row r="352" spans="8:9" ht="15.75" customHeight="1" x14ac:dyDescent="0.25">
      <c r="H352" s="20"/>
      <c r="I352" s="20"/>
    </row>
    <row r="353" spans="8:9" ht="15.75" customHeight="1" x14ac:dyDescent="0.25">
      <c r="H353" s="20"/>
      <c r="I353" s="20"/>
    </row>
    <row r="354" spans="8:9" ht="15.75" customHeight="1" x14ac:dyDescent="0.25">
      <c r="H354" s="20"/>
      <c r="I354" s="20"/>
    </row>
    <row r="355" spans="8:9" ht="15.75" customHeight="1" x14ac:dyDescent="0.25">
      <c r="H355" s="20"/>
      <c r="I355" s="20"/>
    </row>
    <row r="356" spans="8:9" ht="15.75" customHeight="1" x14ac:dyDescent="0.25">
      <c r="H356" s="20"/>
      <c r="I356" s="20"/>
    </row>
    <row r="357" spans="8:9" ht="15.75" customHeight="1" x14ac:dyDescent="0.25">
      <c r="H357" s="20"/>
      <c r="I357" s="20"/>
    </row>
    <row r="358" spans="8:9" ht="15.75" customHeight="1" x14ac:dyDescent="0.25">
      <c r="H358" s="20"/>
      <c r="I358" s="20"/>
    </row>
    <row r="359" spans="8:9" ht="15.75" customHeight="1" x14ac:dyDescent="0.25">
      <c r="H359" s="20"/>
      <c r="I359" s="20"/>
    </row>
    <row r="360" spans="8:9" ht="15.75" customHeight="1" x14ac:dyDescent="0.25">
      <c r="H360" s="20"/>
      <c r="I360" s="20"/>
    </row>
    <row r="361" spans="8:9" ht="15.75" customHeight="1" x14ac:dyDescent="0.25">
      <c r="H361" s="20"/>
      <c r="I361" s="20"/>
    </row>
    <row r="362" spans="8:9" ht="15.75" customHeight="1" x14ac:dyDescent="0.25">
      <c r="H362" s="20"/>
      <c r="I362" s="20"/>
    </row>
    <row r="363" spans="8:9" ht="15.75" customHeight="1" x14ac:dyDescent="0.25">
      <c r="H363" s="20"/>
      <c r="I363" s="20"/>
    </row>
    <row r="364" spans="8:9" ht="15.75" customHeight="1" x14ac:dyDescent="0.25">
      <c r="H364" s="20"/>
      <c r="I364" s="20"/>
    </row>
    <row r="365" spans="8:9" ht="15.75" customHeight="1" x14ac:dyDescent="0.25">
      <c r="H365" s="20"/>
      <c r="I365" s="20"/>
    </row>
    <row r="366" spans="8:9" ht="15.75" customHeight="1" x14ac:dyDescent="0.25">
      <c r="H366" s="20"/>
      <c r="I366" s="20"/>
    </row>
    <row r="367" spans="8:9" ht="15.75" customHeight="1" x14ac:dyDescent="0.25">
      <c r="H367" s="20"/>
      <c r="I367" s="20"/>
    </row>
    <row r="368" spans="8:9" ht="15.75" customHeight="1" x14ac:dyDescent="0.25">
      <c r="H368" s="20"/>
      <c r="I368" s="20"/>
    </row>
    <row r="369" spans="8:9" ht="15.75" customHeight="1" x14ac:dyDescent="0.25">
      <c r="H369" s="20"/>
      <c r="I369" s="20"/>
    </row>
    <row r="370" spans="8:9" ht="15.75" customHeight="1" x14ac:dyDescent="0.25">
      <c r="H370" s="20"/>
      <c r="I370" s="20"/>
    </row>
    <row r="371" spans="8:9" ht="15.75" customHeight="1" x14ac:dyDescent="0.25">
      <c r="H371" s="20"/>
      <c r="I371" s="20"/>
    </row>
    <row r="372" spans="8:9" ht="15.75" customHeight="1" x14ac:dyDescent="0.25">
      <c r="H372" s="20"/>
      <c r="I372" s="20"/>
    </row>
    <row r="373" spans="8:9" ht="15.75" customHeight="1" x14ac:dyDescent="0.25">
      <c r="H373" s="20"/>
      <c r="I373" s="20"/>
    </row>
    <row r="374" spans="8:9" ht="15.75" customHeight="1" x14ac:dyDescent="0.25">
      <c r="H374" s="20"/>
      <c r="I374" s="20"/>
    </row>
    <row r="375" spans="8:9" ht="15.75" customHeight="1" x14ac:dyDescent="0.25">
      <c r="H375" s="20"/>
      <c r="I375" s="20"/>
    </row>
    <row r="376" spans="8:9" ht="15.75" customHeight="1" x14ac:dyDescent="0.25">
      <c r="H376" s="20"/>
      <c r="I376" s="20"/>
    </row>
    <row r="377" spans="8:9" ht="15.75" customHeight="1" x14ac:dyDescent="0.25">
      <c r="H377" s="20"/>
      <c r="I377" s="20"/>
    </row>
    <row r="378" spans="8:9" ht="15.75" customHeight="1" x14ac:dyDescent="0.25">
      <c r="H378" s="20"/>
      <c r="I378" s="20"/>
    </row>
    <row r="379" spans="8:9" ht="15.75" customHeight="1" x14ac:dyDescent="0.25">
      <c r="H379" s="20"/>
      <c r="I379" s="20"/>
    </row>
    <row r="380" spans="8:9" ht="15.75" customHeight="1" x14ac:dyDescent="0.25"/>
    <row r="381" spans="8:9" ht="15.75" customHeight="1" x14ac:dyDescent="0.25"/>
    <row r="382" spans="8:9" ht="15.75" customHeight="1" x14ac:dyDescent="0.25"/>
    <row r="383" spans="8:9" ht="15.75" customHeight="1" x14ac:dyDescent="0.25"/>
    <row r="384" spans="8:9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E2:E32">
    <cfRule type="cellIs" dxfId="1" priority="1" operator="equal">
      <formula>"Electronics"</formula>
    </cfRule>
  </conditionalFormatting>
  <conditionalFormatting sqref="H2:H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{19ED7ADD-DA17-49B9-8C45-1BFE7EAD81A9}</x14:id>
        </ext>
      </extLst>
    </cfRule>
    <cfRule type="colorScale" priority="3">
      <colorScale>
        <cfvo type="min"/>
        <cfvo type="max"/>
        <color theme="6" tint="0.39997558519241921"/>
        <color rgb="FFFFEF9C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D7ADD-DA17-49B9-8C45-1BFE7EAD8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iconSet" priority="4" id="{FA11922D-6FD3-4FF4-B2CC-B086E8DA662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H2:H32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4DEAC-C060-4864-88F1-003B06C6D790}">
  <sheetPr>
    <outlinePr summaryBelow="0" summaryRight="0"/>
  </sheetPr>
  <dimension ref="A1:P1000"/>
  <sheetViews>
    <sheetView tabSelected="1" topLeftCell="C1" workbookViewId="0">
      <selection activeCell="G2" sqref="G2"/>
    </sheetView>
  </sheetViews>
  <sheetFormatPr defaultColWidth="12.6640625" defaultRowHeight="15" customHeight="1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9.21875" bestFit="1" customWidth="1"/>
    <col min="8" max="8" width="22.88671875" bestFit="1" customWidth="1"/>
    <col min="9" max="9" width="17.6640625" bestFit="1" customWidth="1"/>
    <col min="10" max="10" width="14" bestFit="1" customWidth="1"/>
    <col min="11" max="11" width="13.33203125" bestFit="1" customWidth="1"/>
    <col min="12" max="12" width="21.5546875" bestFit="1" customWidth="1"/>
    <col min="13" max="13" width="19" bestFit="1" customWidth="1"/>
    <col min="14" max="14" width="29.21875" bestFit="1" customWidth="1"/>
    <col min="15" max="15" width="32.5546875" bestFit="1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6" t="s">
        <v>118</v>
      </c>
      <c r="H1" s="16" t="s">
        <v>119</v>
      </c>
      <c r="I1" s="16" t="s">
        <v>120</v>
      </c>
      <c r="J1" s="16" t="s">
        <v>121</v>
      </c>
      <c r="K1" s="16" t="s">
        <v>122</v>
      </c>
      <c r="L1" s="16" t="s">
        <v>123</v>
      </c>
      <c r="M1" s="16" t="s">
        <v>124</v>
      </c>
      <c r="N1" s="16" t="s">
        <v>125</v>
      </c>
      <c r="O1" s="16" t="s">
        <v>126</v>
      </c>
    </row>
    <row r="2" spans="1:16" ht="15.75" customHeight="1" x14ac:dyDescent="0.25">
      <c r="A2" s="5" t="s">
        <v>25</v>
      </c>
      <c r="B2" s="5" t="s">
        <v>61</v>
      </c>
      <c r="C2" s="5" t="s">
        <v>27</v>
      </c>
      <c r="D2" s="5">
        <v>1000</v>
      </c>
      <c r="E2" s="5">
        <v>30</v>
      </c>
      <c r="F2" s="13" t="s">
        <v>28</v>
      </c>
      <c r="G2" s="13">
        <f>IFERROR(IF(D2="",AVERAGEIF($B$2:$B$32,B2,$D$2:$D$32),D2),MEDIAN(D2:D32))</f>
        <v>1000</v>
      </c>
      <c r="H2" s="13" t="str" cm="1">
        <f t="array" ref="H2">IF(F2="",_xlfn.SWITCH(B2,"Laptop","Electronics", "Backpack","Outdoor","Smartphone","Electronics","Tablet","Electronics", "Headphones","Electronics", "Blender","Kitchen","Coffee Maker","Kitchen","Sneakers","Fashion", "T-shirt","Fashion", "Fitness Tracker","Electronics", "Unknown"),F2)</f>
        <v>Electronics</v>
      </c>
      <c r="I2" s="13" t="str">
        <f>CONCATENATE(LEFT(A2,6),"-2025")</f>
        <v>28-JAN-2025</v>
      </c>
      <c r="J2" s="15">
        <f>DATE(2025,MONTH(DATEVALUE(MID(A2,4,3)&amp;"1")),LEFT(A2,2))</f>
        <v>45685</v>
      </c>
      <c r="K2" s="13" t="str">
        <f>RIGHT(A2,2)</f>
        <v>US</v>
      </c>
      <c r="L2" s="13" t="str">
        <f>PROPER(CONCATENATE(B2,"-",C2))</f>
        <v>Laptop-Dell</v>
      </c>
      <c r="M2" s="24">
        <f t="shared" ref="M2:M32" si="0">IFERROR(IF(D2="",AVERAGEIF($B$2:$B$32,B2,$D$2:$D$32),D2),MEDIAN(D2:D32))</f>
        <v>1000</v>
      </c>
      <c r="N2" s="10">
        <f t="shared" ref="N2:N32" si="1">IFERROR(IF(D2="",AVERAGEIF($B$2:$B$32,B2,$D$2:$D$32),D2),MEDIAN(D2:D32))</f>
        <v>1000</v>
      </c>
      <c r="O2" t="str" cm="1">
        <f t="array" ref="O2">IF(F2="",_xlfn.SWITCH(B2,"Laptop","Electronics", "Backpack","Outdoor","Smartphone","Electronics","Tablet","Electronics", "Headphones","Electronics", "Blender","Kitchen","Coffee Maker","Kitchen","Sneakers","Fashion", "T-shirt","Fashion", "Fitness Tracker","Electronics", "Unknown"),F2)</f>
        <v>Electronics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14" t="s">
        <v>32</v>
      </c>
      <c r="G3" s="14">
        <f t="shared" ref="G3:G32" si="2">IFERROR(IF(D3="",AVERAGEIF($B$2:$B$32,B3,$D$2:$D$32),D3),MEDIAN(D3:D33))</f>
        <v>80</v>
      </c>
      <c r="H3" s="14" t="str" cm="1">
        <f t="array" ref="H3">IF(F3="",
_xlfn.SWITCH(B3,
"Laptop","Electronics",
"Backpack","Outdoor",
"Smartphone","Electronics",
"Tablet","Electronics",
"Headphones","Electronics",
"Blender","Kitchen",
"Coffee Maker","Kitchen",
"Sneakers","Fashion",
"T-shirt","Fashion","Fitness Tracker","Electronics",
"Unknown"),
F3)</f>
        <v>Fashion</v>
      </c>
      <c r="I3" s="13" t="str">
        <f t="shared" ref="I3:I32" si="3">CONCATENATE(LEFT(A3,6),"-2025")</f>
        <v>15-FEB-2025</v>
      </c>
      <c r="J3" s="15">
        <f t="shared" ref="J3:J32" si="4">DATE(2025,MONTH(DATEVALUE(MID(A3,4,3)&amp;"1")),LEFT(A3,2))</f>
        <v>45703</v>
      </c>
      <c r="K3" s="13" t="str">
        <f t="shared" ref="K3:K32" si="5">RIGHT(A3,2)</f>
        <v>US</v>
      </c>
      <c r="L3" s="14" t="str">
        <f t="shared" ref="L3:L32" si="6">PROPER(CONCATENATE(B3,"-",C3))</f>
        <v>Sneakers-Nike</v>
      </c>
      <c r="M3" s="25">
        <f t="shared" si="0"/>
        <v>80</v>
      </c>
      <c r="N3" s="10">
        <f t="shared" si="1"/>
        <v>80</v>
      </c>
      <c r="O3" t="str" cm="1">
        <f t="array" ref="O3">IF(F3="",_xlfn.SWITCH(B3,"Laptop","Electronics", "Backpack","Outdoor","Smartphone","Electronics","Tablet","Electronics", "Headphones","Electronics", "Blender","Kitchen","Coffee Maker","Kitchen","Sneakers","Fashion", "T-shirt","Fashion", "Fitness Tracker","Electronics", "Unknown"),F3)</f>
        <v>Fashion</v>
      </c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13" t="s">
        <v>36</v>
      </c>
      <c r="G4" s="13">
        <f t="shared" si="2"/>
        <v>130</v>
      </c>
      <c r="H4" s="13" t="str" cm="1">
        <f t="array" ref="H4">IF(F4="",
_xlfn.SWITCH(B4,
"Laptop","Electronics",
"Backpack","Outdoor",
"Smartphone","Electronics",
"Tablet","Electronics",
"Headphones","Electronics",
"Blender","Kitchen",
"Coffee Maker","Kitchen",
"Sneakers","Fashion",
"T-shirt","Fashion","Fitness Tracker","Electronics",
"Unknown"),
F4)</f>
        <v>Kitchen</v>
      </c>
      <c r="I4" s="13" t="str">
        <f t="shared" si="3"/>
        <v>03-MAR-2025</v>
      </c>
      <c r="J4" s="15">
        <f t="shared" si="4"/>
        <v>45719</v>
      </c>
      <c r="K4" s="13" t="str">
        <f t="shared" si="5"/>
        <v>US</v>
      </c>
      <c r="L4" s="13" t="str">
        <f t="shared" si="6"/>
        <v>Coffee Maker-Keurig</v>
      </c>
      <c r="M4" s="24">
        <f t="shared" si="0"/>
        <v>130</v>
      </c>
      <c r="N4" s="10">
        <f t="shared" si="1"/>
        <v>130</v>
      </c>
      <c r="O4" t="str" cm="1">
        <f t="array" ref="O4">IF(F4="",_xlfn.SWITCH(B4,"Laptop","Electronics", "Backpack","Outdoor","Smartphone","Electronics","Tablet","Electronics", "Headphones","Electronics", "Blender","Kitchen","Coffee Maker","Kitchen","Sneakers","Fashion", "T-shirt","Fashion", "Fitness Tracker","Electronics", "Unknown"),F4)</f>
        <v>Kitchen</v>
      </c>
      <c r="P4" s="5"/>
    </row>
    <row r="5" spans="1:16" ht="15.75" customHeight="1" x14ac:dyDescent="0.25">
      <c r="A5" s="8" t="s">
        <v>37</v>
      </c>
      <c r="B5" s="8" t="s">
        <v>116</v>
      </c>
      <c r="C5" s="8" t="s">
        <v>39</v>
      </c>
      <c r="D5" s="8">
        <v>900</v>
      </c>
      <c r="E5" s="8">
        <v>25</v>
      </c>
      <c r="F5" s="14" t="s">
        <v>28</v>
      </c>
      <c r="G5" s="14">
        <f t="shared" si="2"/>
        <v>900</v>
      </c>
      <c r="H5" s="14" t="str" cm="1">
        <f t="array" ref="H5">IF(F5="",
_xlfn.SWITCH(B5,
"Laptop","Electronics",
"Backpack","Outdoor",
"Smartphone","Electronics",
"Tablet","Electronics",
"Headphones","Electronics",
"Blender","Kitchen",
"Coffee Maker","Kitchen",
"Sneakers","Fashion",
"T-shirt","Fashion","Fitness Tracker","Electronics",
"Unknown"),
F5)</f>
        <v>Electronics</v>
      </c>
      <c r="I5" s="13" t="str">
        <f t="shared" si="3"/>
        <v>11-APR-2025</v>
      </c>
      <c r="J5" s="15">
        <f t="shared" si="4"/>
        <v>45758</v>
      </c>
      <c r="K5" s="13" t="str">
        <f t="shared" si="5"/>
        <v>US</v>
      </c>
      <c r="L5" s="14" t="str">
        <f t="shared" si="6"/>
        <v>Smartphone-Samsung</v>
      </c>
      <c r="M5" s="25">
        <f t="shared" si="0"/>
        <v>900</v>
      </c>
      <c r="N5" s="10">
        <f t="shared" si="1"/>
        <v>900</v>
      </c>
      <c r="O5" t="str" cm="1">
        <f t="array" ref="O5">IF(F5="",_xlfn.SWITCH(B5,"Laptop","Electronics", "Backpack","Outdoor","Smartphone","Electronics","Tablet","Electronics", "Headphones","Electronics", "Blender","Kitchen","Coffee Maker","Kitchen","Sneakers","Fashion", "T-shirt","Fashion", "Fitness Tracker","Electronics", "Unknown"),F5)</f>
        <v>Electronics</v>
      </c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13"/>
      <c r="G6" s="13">
        <f t="shared" si="2"/>
        <v>70</v>
      </c>
      <c r="H6" s="13" t="str" cm="1">
        <f t="array" ref="H6">IF(F6="",
_xlfn.SWITCH(B6,
"Laptop","Electronics",
"Backpack","Outdoor",
"Smartphone","Electronics",
"Tablet","Electronics",
"Headphones","Electronics",
"Blender","Kitchen",
"Coffee Maker","Kitchen",
"Sneakers","Fashion",
"T-shirt","Fashion","Fitness Tracker","Electronics",
"Unknown"),
F6)</f>
        <v>Outdoor</v>
      </c>
      <c r="I6" s="13" t="str">
        <f t="shared" si="3"/>
        <v>22-MAY-2025</v>
      </c>
      <c r="J6" s="15">
        <f t="shared" si="4"/>
        <v>45799</v>
      </c>
      <c r="K6" s="13" t="str">
        <f t="shared" si="5"/>
        <v>US</v>
      </c>
      <c r="L6" s="13" t="str">
        <f t="shared" si="6"/>
        <v>Backpack-North Face</v>
      </c>
      <c r="M6" s="24">
        <f t="shared" si="0"/>
        <v>70</v>
      </c>
      <c r="N6" s="10">
        <f t="shared" si="1"/>
        <v>70</v>
      </c>
      <c r="O6" t="str" cm="1">
        <f t="array" ref="O6">IF(F6="",_xlfn.SWITCH(B6,"Laptop","Electronics", "Backpack","Outdoor","Smartphone","Electronics","Tablet","Electronics", "Headphones","Electronics", "Blender","Kitchen","Coffee Maker","Kitchen","Sneakers","Fashion", "T-shirt","Fashion", "Fitness Tracker","Electronics", "Unknown"),F6)</f>
        <v>Outdoor</v>
      </c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14" t="s">
        <v>28</v>
      </c>
      <c r="G7" s="14">
        <f t="shared" si="2"/>
        <v>250</v>
      </c>
      <c r="H7" s="14" t="str" cm="1">
        <f t="array" ref="H7">IF(F7="",
_xlfn.SWITCH(B7,
"Laptop","Electronics",
"Backpack","Outdoor",
"Smartphone","Electronics",
"Tablet","Electronics",
"Headphones","Electronics",
"Blender","Kitchen",
"Coffee Maker","Kitchen",
"Sneakers","Fashion",
"T-shirt","Fashion","Fitness Tracker","Electronics",
"Unknown"),
F7)</f>
        <v>Electronics</v>
      </c>
      <c r="I7" s="13" t="str">
        <f t="shared" si="3"/>
        <v>07-JUN-2025</v>
      </c>
      <c r="J7" s="15">
        <f t="shared" si="4"/>
        <v>45815</v>
      </c>
      <c r="K7" s="13" t="str">
        <f t="shared" si="5"/>
        <v>UK</v>
      </c>
      <c r="L7" s="14" t="str">
        <f t="shared" si="6"/>
        <v>Headphones-Sony</v>
      </c>
      <c r="M7" s="25">
        <f t="shared" si="0"/>
        <v>250</v>
      </c>
      <c r="N7" s="10">
        <f t="shared" si="1"/>
        <v>250</v>
      </c>
      <c r="O7" t="str" cm="1">
        <f t="array" ref="O7">IF(F7="",_xlfn.SWITCH(B7,"Laptop","Electronics", "Backpack","Outdoor","Smartphone","Electronics","Tablet","Electronics", "Headphones","Electronics", "Blender","Kitchen","Coffee Maker","Kitchen","Sneakers","Fashion", "T-shirt","Fashion", "Fitness Tracker","Electronics", "Unknown"),F7)</f>
        <v>Electronics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13" t="s">
        <v>32</v>
      </c>
      <c r="G8" s="13">
        <f t="shared" si="2"/>
        <v>30</v>
      </c>
      <c r="H8" s="13" t="str" cm="1">
        <f t="array" ref="H8">IF(F8="",
_xlfn.SWITCH(B8,
"Laptop","Electronics",
"Backpack","Outdoor",
"Smartphone","Electronics",
"Tablet","Electronics",
"Headphones","Electronics",
"Blender","Kitchen",
"Coffee Maker","Kitchen",
"Sneakers","Fashion",
"T-shirt","Fashion","Fitness Tracker","Electronics",
"Unknown"),
F8)</f>
        <v>Fashion</v>
      </c>
      <c r="I8" s="13" t="str">
        <f t="shared" si="3"/>
        <v>19-JUL-2025</v>
      </c>
      <c r="J8" s="15">
        <f t="shared" si="4"/>
        <v>45857</v>
      </c>
      <c r="K8" s="13" t="str">
        <f t="shared" si="5"/>
        <v>UK</v>
      </c>
      <c r="L8" s="13" t="str">
        <f t="shared" si="6"/>
        <v>T-Shirt-Adidas</v>
      </c>
      <c r="M8" s="24">
        <f t="shared" si="0"/>
        <v>30</v>
      </c>
      <c r="N8" s="10">
        <f t="shared" si="1"/>
        <v>30</v>
      </c>
      <c r="O8" t="str" cm="1">
        <f t="array" ref="O8">IF(F8="",_xlfn.SWITCH(B8,"Laptop","Electronics", "Backpack","Outdoor","Smartphone","Electronics","Tablet","Electronics", "Headphones","Electronics", "Blender","Kitchen","Coffee Maker","Kitchen","Sneakers","Fashion", "T-shirt","Fashion", "Fitness Tracker","Electronics", "Unknown"),F8)</f>
        <v>Fashion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14" t="s">
        <v>36</v>
      </c>
      <c r="G9" s="14">
        <f t="shared" si="2"/>
        <v>90</v>
      </c>
      <c r="H9" s="14" t="str" cm="1">
        <f t="array" ref="H9">IF(F9="",
_xlfn.SWITCH(B9,
"Laptop","Electronics",
"Backpack","Outdoor",
"Smartphone","Electronics",
"Tablet","Electronics",
"Headphones","Electronics",
"Blender","Kitchen",
"Coffee Maker","Kitchen",
"Sneakers","Fashion",
"T-shirt","Fashion","Fitness Tracker","Electronics",
"Unknown"),
F9)</f>
        <v>Kitchen</v>
      </c>
      <c r="I9" s="13" t="str">
        <f t="shared" si="3"/>
        <v>23-AUG-2025</v>
      </c>
      <c r="J9" s="15">
        <f t="shared" si="4"/>
        <v>45892</v>
      </c>
      <c r="K9" s="13" t="str">
        <f t="shared" si="5"/>
        <v>UK</v>
      </c>
      <c r="L9" s="14" t="str">
        <f t="shared" si="6"/>
        <v>Blender-Ninja</v>
      </c>
      <c r="M9" s="25">
        <f t="shared" si="0"/>
        <v>90</v>
      </c>
      <c r="N9" s="10">
        <f t="shared" si="1"/>
        <v>90</v>
      </c>
      <c r="O9" t="str" cm="1">
        <f t="array" ref="O9">IF(F9="",_xlfn.SWITCH(B9,"Laptop","Electronics", "Backpack","Outdoor","Smartphone","Electronics","Tablet","Electronics", "Headphones","Electronics", "Blender","Kitchen","Coffee Maker","Kitchen","Sneakers","Fashion", "T-shirt","Fashion", "Fitness Tracker","Electronics", "Unknown"),F9)</f>
        <v>Kitchen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13" t="s">
        <v>28</v>
      </c>
      <c r="G10" s="13">
        <f t="shared" si="2"/>
        <v>500</v>
      </c>
      <c r="H10" s="13" t="str" cm="1">
        <f t="array" ref="H10">IF(F10="",
_xlfn.SWITCH(B10,
"Laptop","Electronics",
"Backpack","Outdoor",
"Smartphone","Electronics",
"Tablet","Electronics",
"Headphones","Electronics",
"Blender","Kitchen",
"Coffee Maker","Kitchen",
"Sneakers","Fashion",
"T-shirt","Fashion","Fitness Tracker","Electronics",
"Unknown"),
F10)</f>
        <v>Electronics</v>
      </c>
      <c r="I10" s="13" t="str">
        <f t="shared" si="3"/>
        <v>05-SEP-2025</v>
      </c>
      <c r="J10" s="15">
        <f t="shared" si="4"/>
        <v>45905</v>
      </c>
      <c r="K10" s="13" t="str">
        <f t="shared" si="5"/>
        <v>UK</v>
      </c>
      <c r="L10" s="13" t="str">
        <f t="shared" si="6"/>
        <v>Tablet-Apple</v>
      </c>
      <c r="M10" s="24">
        <f t="shared" si="0"/>
        <v>500</v>
      </c>
      <c r="N10" s="10">
        <f t="shared" si="1"/>
        <v>500</v>
      </c>
      <c r="O10" t="str" cm="1">
        <f t="array" ref="O10">IF(F10="",_xlfn.SWITCH(B10,"Laptop","Electronics", "Backpack","Outdoor","Smartphone","Electronics","Tablet","Electronics", "Headphones","Electronics", "Blender","Kitchen","Coffee Maker","Kitchen","Sneakers","Fashion", "T-shirt","Fashion", "Fitness Tracker","Electronics", "Unknown"),F10)</f>
        <v>Electronics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14" t="s">
        <v>59</v>
      </c>
      <c r="G11" s="14">
        <f t="shared" si="2"/>
        <v>130</v>
      </c>
      <c r="H11" s="14" t="str" cm="1">
        <f t="array" ref="H11">IF(F11="",
_xlfn.SWITCH(B11,
"Laptop","Electronics",
"Backpack","Outdoor",
"Smartphone","Electronics",
"Tablet","Electronics",
"Headphones","Electronics",
"Blender","Kitchen",
"Coffee Maker","Kitchen",
"Sneakers","Fashion",
"T-shirt","Fashion","Fitness Tracker","Electronics",
"Unknown"),
F11)</f>
        <v>Outdoor</v>
      </c>
      <c r="I11" s="13" t="str">
        <f t="shared" si="3"/>
        <v>14-OCT-2025</v>
      </c>
      <c r="J11" s="15">
        <f t="shared" si="4"/>
        <v>45944</v>
      </c>
      <c r="K11" s="13" t="str">
        <f t="shared" si="5"/>
        <v>UK</v>
      </c>
      <c r="L11" s="14" t="str">
        <f t="shared" si="6"/>
        <v>Hiking Boots-Timberland</v>
      </c>
      <c r="M11" s="25">
        <f t="shared" si="0"/>
        <v>130</v>
      </c>
      <c r="N11" s="10">
        <f t="shared" si="1"/>
        <v>130</v>
      </c>
      <c r="O11" t="str" cm="1">
        <f t="array" ref="O11">IF(F11="",_xlfn.SWITCH(B11,"Laptop","Electronics", "Backpack","Outdoor","Smartphone","Electronics","Tablet","Electronics", "Headphones","Electronics", "Blender","Kitchen","Coffee Maker","Kitchen","Sneakers","Fashion", "T-shirt","Fashion", "Fitness Tracker","Electronics", "Unknown"),F11)</f>
        <v>Outdoor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13" t="s">
        <v>28</v>
      </c>
      <c r="G12" s="13">
        <f t="shared" si="2"/>
        <v>950</v>
      </c>
      <c r="H12" s="13" t="str" cm="1">
        <f t="array" ref="H12">IF(F12="",
_xlfn.SWITCH(B12,
"Laptop","Electronics",
"Backpack","Outdoor",
"Smartphone","Electronics",
"Tablet","Electronics",
"Headphones","Electronics",
"Blender","Kitchen",
"Coffee Maker","Kitchen",
"Sneakers","Fashion",
"T-shirt","Fashion","Fitness Tracker","Electronics",
"Unknown"),
F12)</f>
        <v>Electronics</v>
      </c>
      <c r="I12" s="13" t="str">
        <f t="shared" si="3"/>
        <v>17-JUN-2025</v>
      </c>
      <c r="J12" s="15">
        <f t="shared" si="4"/>
        <v>45825</v>
      </c>
      <c r="K12" s="13" t="str">
        <f t="shared" si="5"/>
        <v>IN</v>
      </c>
      <c r="L12" s="13" t="str">
        <f t="shared" si="6"/>
        <v>Laptop-Hp</v>
      </c>
      <c r="M12" s="24">
        <f t="shared" si="0"/>
        <v>950</v>
      </c>
      <c r="N12" s="10">
        <f t="shared" si="1"/>
        <v>950</v>
      </c>
      <c r="O12" t="str" cm="1">
        <f t="array" ref="O12">IF(F12="",_xlfn.SWITCH(B12,"Laptop","Electronics", "Backpack","Outdoor","Smartphone","Electronics","Tablet","Electronics", "Headphones","Electronics", "Blender","Kitchen","Coffee Maker","Kitchen","Sneakers","Fashion", "T-shirt","Fashion", "Fitness Tracker","Electronics", "Unknown"),F12)</f>
        <v>Electronics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14"/>
      <c r="G13" s="14">
        <f t="shared" si="2"/>
        <v>90</v>
      </c>
      <c r="H13" s="14" t="str" cm="1">
        <f t="array" ref="H13">IF(F13="",
_xlfn.SWITCH(B13,
"Laptop","Electronics",
"Backpack","Outdoor",
"Smartphone","Electronics",
"Tablet","Electronics",
"Headphones","Electronics",
"Blender","Kitchen",
"Coffee Maker","Kitchen",
"Sneakers","Fashion",
"T-shirt","Fashion","Fitness Tracker","Electronics",
"Unknown"),
F13)</f>
        <v>Fashion</v>
      </c>
      <c r="I13" s="13" t="str">
        <f t="shared" si="3"/>
        <v>25-NOV-2025</v>
      </c>
      <c r="J13" s="15">
        <f t="shared" si="4"/>
        <v>45986</v>
      </c>
      <c r="K13" s="13" t="str">
        <f t="shared" si="5"/>
        <v>AU</v>
      </c>
      <c r="L13" s="14" t="str">
        <f t="shared" si="6"/>
        <v>Sneakers-Adidas</v>
      </c>
      <c r="M13" s="25">
        <f t="shared" si="0"/>
        <v>90</v>
      </c>
      <c r="N13" s="10">
        <f t="shared" si="1"/>
        <v>90</v>
      </c>
      <c r="O13" t="str" cm="1">
        <f t="array" ref="O13">IF(F13="",_xlfn.SWITCH(B13,"Laptop","Electronics", "Backpack","Outdoor","Smartphone","Electronics","Tablet","Electronics", "Headphones","Electronics", "Blender","Kitchen","Coffee Maker","Kitchen","Sneakers","Fashion", "T-shirt","Fashion", "Fitness Tracker","Electronics", "Unknown"),F13)</f>
        <v>Fashion</v>
      </c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13"/>
      <c r="G14" s="13">
        <f t="shared" si="2"/>
        <v>120</v>
      </c>
      <c r="H14" s="13" t="str" cm="1">
        <f t="array" ref="H14">IF(F14="",
_xlfn.SWITCH(B14,
"Laptop","Electronics",
"Backpack","Outdoor",
"Smartphone","Electronics",
"Tablet","Electronics",
"Headphones","Electronics",
"Blender","Kitchen",
"Coffee Maker","Kitchen",
"Sneakers","Fashion",
"T-shirt","Fashion","Fitness Tracker","Electronics",
"Unknown"),
F14)</f>
        <v>Kitchen</v>
      </c>
      <c r="I14" s="13" t="str">
        <f t="shared" si="3"/>
        <v>08-DEC-2025</v>
      </c>
      <c r="J14" s="15">
        <f t="shared" si="4"/>
        <v>45999</v>
      </c>
      <c r="K14" s="13" t="str">
        <f t="shared" si="5"/>
        <v>DE</v>
      </c>
      <c r="L14" s="13" t="str">
        <f t="shared" si="6"/>
        <v>Coffee Maker-Nespresso</v>
      </c>
      <c r="M14" s="24">
        <f t="shared" si="0"/>
        <v>120</v>
      </c>
      <c r="N14" s="10">
        <f t="shared" si="1"/>
        <v>120</v>
      </c>
      <c r="O14" t="str" cm="1">
        <f t="array" ref="O14">IF(F14="",_xlfn.SWITCH(B14,"Laptop","Electronics", "Backpack","Outdoor","Smartphone","Electronics","Tablet","Electronics", "Headphones","Electronics", "Blender","Kitchen","Coffee Maker","Kitchen","Sneakers","Fashion", "T-shirt","Fashion", "Fitness Tracker","Electronics", "Unknown"),F14)</f>
        <v>Kitchen</v>
      </c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14" t="s">
        <v>28</v>
      </c>
      <c r="G15" s="14">
        <f t="shared" si="2"/>
        <v>150</v>
      </c>
      <c r="H15" s="14" t="str" cm="1">
        <f t="array" ref="H15">IF(F15="",
_xlfn.SWITCH(B15,
"Laptop","Electronics",
"Backpack","Outdoor",
"Smartphone","Electronics",
"Tablet","Electronics",
"Headphones","Electronics",
"Blender","Kitchen",
"Coffee Maker","Kitchen",
"Sneakers","Fashion",
"T-shirt","Fashion","Fitness Tracker","Electronics",
"Unknown"),
F15)</f>
        <v>Electronics</v>
      </c>
      <c r="I15" s="13" t="str">
        <f t="shared" si="3"/>
        <v>18-FEB-2025</v>
      </c>
      <c r="J15" s="15">
        <f t="shared" si="4"/>
        <v>45706</v>
      </c>
      <c r="K15" s="13" t="str">
        <f t="shared" si="5"/>
        <v>CA</v>
      </c>
      <c r="L15" s="14" t="str">
        <f t="shared" si="6"/>
        <v>Smartwatch-Fitbit</v>
      </c>
      <c r="M15" s="25">
        <f t="shared" si="0"/>
        <v>150</v>
      </c>
      <c r="N15" s="10">
        <f t="shared" si="1"/>
        <v>150</v>
      </c>
      <c r="O15" t="str" cm="1">
        <f t="array" ref="O15">IF(F15="",_xlfn.SWITCH(B15,"Laptop","Electronics", "Backpack","Outdoor","Smartphone","Electronics","Tablet","Electronics", "Headphones","Electronics", "Blender","Kitchen","Coffee Maker","Kitchen","Sneakers","Fashion", "T-shirt","Fashion", "Fitness Tracker","Electronics", "Unknown"),F15)</f>
        <v>Electronics</v>
      </c>
    </row>
    <row r="16" spans="1:16" ht="15.75" customHeight="1" x14ac:dyDescent="0.25">
      <c r="A16" s="5" t="s">
        <v>69</v>
      </c>
      <c r="B16" s="5" t="s">
        <v>44</v>
      </c>
      <c r="C16" s="5" t="s">
        <v>71</v>
      </c>
      <c r="D16" s="5">
        <v>250</v>
      </c>
      <c r="E16" s="5">
        <v>20</v>
      </c>
      <c r="F16" s="13" t="s">
        <v>28</v>
      </c>
      <c r="G16" s="13">
        <f t="shared" si="2"/>
        <v>250</v>
      </c>
      <c r="H16" s="13" t="str" cm="1">
        <f t="array" ref="H16">IF(F16="",
_xlfn.SWITCH(B16,
"Laptop","Electronics",
"Backpack","Outdoor",
"Smartphone","Electronics",
"Tablet","Electronics",
"Headphones","Electronics",
"Blender","Kitchen",
"Coffee Maker","Kitchen",
"Sneakers","Fashion",
"T-shirt","Fashion","Fitness Tracker","Electronics",
"Unknown"),
F16)</f>
        <v>Electronics</v>
      </c>
      <c r="I16" s="13" t="str">
        <f t="shared" si="3"/>
        <v>16-APR-2025</v>
      </c>
      <c r="J16" s="15">
        <f t="shared" si="4"/>
        <v>45763</v>
      </c>
      <c r="K16" s="13" t="str">
        <f t="shared" si="5"/>
        <v>ES</v>
      </c>
      <c r="L16" s="13" t="str">
        <f t="shared" si="6"/>
        <v>Headphones-Bose</v>
      </c>
      <c r="M16" s="24">
        <f t="shared" si="0"/>
        <v>250</v>
      </c>
      <c r="N16" s="10">
        <f t="shared" si="1"/>
        <v>250</v>
      </c>
      <c r="O16" t="str" cm="1">
        <f t="array" ref="O16">IF(F16="",_xlfn.SWITCH(B16,"Laptop","Electronics", "Backpack","Outdoor","Smartphone","Electronics","Tablet","Electronics", "Headphones","Electronics", "Blender","Kitchen","Coffee Maker","Kitchen","Sneakers","Fashion", "T-shirt","Fashion", "Fitness Tracker","Electronics", "Unknown"),F16)</f>
        <v>Electronics</v>
      </c>
    </row>
    <row r="17" spans="1:15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14" t="s">
        <v>75</v>
      </c>
      <c r="G17" s="14">
        <f t="shared" si="2"/>
        <v>50</v>
      </c>
      <c r="H17" s="14" t="str" cm="1">
        <f t="array" ref="H17">IF(F17="",
_xlfn.SWITCH(B17,
"Laptop","Electronics",
"Backpack","Outdoor",
"Smartphone","Electronics",
"Tablet","Electronics",
"Headphones","Electronics",
"Blender","Kitchen",
"Coffee Maker","Kitchen",
"Sneakers","Fashion",
"T-shirt","Fashion","Fitness Tracker","Electronics",
"Unknown"),
F17)</f>
        <v>Accessories</v>
      </c>
      <c r="I17" s="13" t="str">
        <f t="shared" si="3"/>
        <v>21-AUG-2025</v>
      </c>
      <c r="J17" s="15">
        <f t="shared" si="4"/>
        <v>45890</v>
      </c>
      <c r="K17" s="13" t="str">
        <f t="shared" si="5"/>
        <v>CA</v>
      </c>
      <c r="L17" s="14" t="str">
        <f t="shared" si="6"/>
        <v>Laptop Bag-Samsonite</v>
      </c>
      <c r="M17" s="25">
        <f t="shared" si="0"/>
        <v>50</v>
      </c>
      <c r="N17" s="10">
        <f t="shared" si="1"/>
        <v>50</v>
      </c>
      <c r="O17" t="str" cm="1">
        <f t="array" ref="O17">IF(F17="",_xlfn.SWITCH(B17,"Laptop","Electronics", "Backpack","Outdoor","Smartphone","Electronics","Tablet","Electronics", "Headphones","Electronics", "Blender","Kitchen","Coffee Maker","Kitchen","Sneakers","Fashion", "T-shirt","Fashion", "Fitness Tracker","Electronics", "Unknown"),F17)</f>
        <v>Accessories</v>
      </c>
    </row>
    <row r="18" spans="1:15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13" t="s">
        <v>28</v>
      </c>
      <c r="G18" s="13">
        <f t="shared" si="2"/>
        <v>160</v>
      </c>
      <c r="H18" s="13" t="str" cm="1">
        <f t="array" ref="H18">IF(F18="",
_xlfn.SWITCH(B18,
"Laptop","Electronics",
"Backpack","Outdoor",
"Smartphone","Electronics",
"Tablet","Electronics",
"Headphones","Electronics",
"Blender","Kitchen",
"Coffee Maker","Kitchen",
"Sneakers","Fashion",
"T-shirt","Fashion","Fitness Tracker","Electronics",
"Unknown"),
F18)</f>
        <v>Electronics</v>
      </c>
      <c r="I18" s="13" t="str">
        <f t="shared" si="3"/>
        <v>20-AUG-2025</v>
      </c>
      <c r="J18" s="15">
        <f t="shared" si="4"/>
        <v>45889</v>
      </c>
      <c r="K18" s="13" t="str">
        <f t="shared" si="5"/>
        <v>CN</v>
      </c>
      <c r="L18" s="13" t="str">
        <f t="shared" si="6"/>
        <v>Smartwatch-Huawei</v>
      </c>
      <c r="M18" s="24">
        <f t="shared" si="0"/>
        <v>160</v>
      </c>
      <c r="N18" s="10">
        <f t="shared" si="1"/>
        <v>160</v>
      </c>
      <c r="O18" t="str" cm="1">
        <f t="array" ref="O18">IF(F18="",_xlfn.SWITCH(B18,"Laptop","Electronics", "Backpack","Outdoor","Smartphone","Electronics","Tablet","Electronics", "Headphones","Electronics", "Blender","Kitchen","Coffee Maker","Kitchen","Sneakers","Fashion", "T-shirt","Fashion", "Fitness Tracker","Electronics", "Unknown"),F18)</f>
        <v>Electronics</v>
      </c>
    </row>
    <row r="19" spans="1:15" ht="15.75" customHeight="1" x14ac:dyDescent="0.25">
      <c r="A19" s="8" t="s">
        <v>78</v>
      </c>
      <c r="B19" s="8" t="s">
        <v>61</v>
      </c>
      <c r="C19" s="8" t="s">
        <v>79</v>
      </c>
      <c r="D19" s="8">
        <v>980</v>
      </c>
      <c r="E19" s="8">
        <v>10</v>
      </c>
      <c r="F19" s="14" t="s">
        <v>28</v>
      </c>
      <c r="G19" s="14">
        <f t="shared" si="2"/>
        <v>980</v>
      </c>
      <c r="H19" s="14" t="str" cm="1">
        <f t="array" ref="H19">IF(F19="",
_xlfn.SWITCH(B19,
"Laptop","Electronics",
"Backpack","Outdoor",
"Smartphone","Electronics",
"Tablet","Electronics",
"Headphones","Electronics",
"Blender","Kitchen",
"Coffee Maker","Kitchen",
"Sneakers","Fashion",
"T-shirt","Fashion","Fitness Tracker","Electronics",
"Unknown"),
F19)</f>
        <v>Electronics</v>
      </c>
      <c r="I19" s="13" t="str">
        <f t="shared" si="3"/>
        <v>27-JAN-2025</v>
      </c>
      <c r="J19" s="15">
        <f t="shared" si="4"/>
        <v>45684</v>
      </c>
      <c r="K19" s="13" t="str">
        <f t="shared" si="5"/>
        <v>IT</v>
      </c>
      <c r="L19" s="14" t="str">
        <f t="shared" si="6"/>
        <v>Laptop-Asus</v>
      </c>
      <c r="M19" s="25">
        <f t="shared" si="0"/>
        <v>980</v>
      </c>
      <c r="N19" s="10">
        <f t="shared" si="1"/>
        <v>980</v>
      </c>
      <c r="O19" t="str" cm="1">
        <f t="array" ref="O19">IF(F19="",_xlfn.SWITCH(B19,"Laptop","Electronics", "Backpack","Outdoor","Smartphone","Electronics","Tablet","Electronics", "Headphones","Electronics", "Blender","Kitchen","Coffee Maker","Kitchen","Sneakers","Fashion", "T-shirt","Fashion", "Fitness Tracker","Electronics", "Unknown"),F19)</f>
        <v>Electronics</v>
      </c>
    </row>
    <row r="20" spans="1:15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13" t="s">
        <v>32</v>
      </c>
      <c r="G20" s="13">
        <f t="shared" si="2"/>
        <v>150</v>
      </c>
      <c r="H20" s="13" t="str" cm="1">
        <f t="array" ref="H20">IF(F20="",
_xlfn.SWITCH(B20,
"Laptop","Electronics",
"Backpack","Outdoor",
"Smartphone","Electronics",
"Tablet","Electronics",
"Headphones","Electronics",
"Blender","Kitchen",
"Coffee Maker","Kitchen",
"Sneakers","Fashion",
"T-shirt","Fashion","Fitness Tracker","Electronics",
"Unknown"),
F20)</f>
        <v>Fashion</v>
      </c>
      <c r="I20" s="13" t="str">
        <f t="shared" si="3"/>
        <v>01-MAR-2025</v>
      </c>
      <c r="J20" s="15">
        <f t="shared" si="4"/>
        <v>45717</v>
      </c>
      <c r="K20" s="13" t="str">
        <f t="shared" si="5"/>
        <v>UK</v>
      </c>
      <c r="L20" s="13" t="str">
        <f t="shared" si="6"/>
        <v>Sunglasses-Oakley</v>
      </c>
      <c r="M20" s="24">
        <f t="shared" si="0"/>
        <v>150</v>
      </c>
      <c r="N20" s="10">
        <f t="shared" si="1"/>
        <v>150</v>
      </c>
      <c r="O20" t="str" cm="1">
        <f t="array" ref="O20">IF(F20="",_xlfn.SWITCH(B20,"Laptop","Electronics", "Backpack","Outdoor","Smartphone","Electronics","Tablet","Electronics", "Headphones","Electronics", "Blender","Kitchen","Coffee Maker","Kitchen","Sneakers","Fashion", "T-shirt","Fashion", "Fitness Tracker","Electronics", "Unknown"),F20)</f>
        <v>Fashion</v>
      </c>
    </row>
    <row r="21" spans="1:15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14" t="s">
        <v>59</v>
      </c>
      <c r="G21" s="14">
        <f t="shared" si="2"/>
        <v>115</v>
      </c>
      <c r="H21" s="14" t="str" cm="1">
        <f t="array" ref="H21">IF(F21="",
_xlfn.SWITCH(B21,
"Laptop","Electronics",
"Backpack","Outdoor",
"Smartphone","Electronics",
"Tablet","Electronics",
"Headphones","Electronics",
"Blender","Kitchen",
"Coffee Maker","Kitchen",
"Sneakers","Fashion",
"T-shirt","Fashion","Fitness Tracker","Electronics",
"Unknown"),
F21)</f>
        <v>Outdoor</v>
      </c>
      <c r="I21" s="13" t="str">
        <f t="shared" si="3"/>
        <v>14-AUG-2025</v>
      </c>
      <c r="J21" s="15">
        <f t="shared" si="4"/>
        <v>45883</v>
      </c>
      <c r="K21" s="13" t="str">
        <f t="shared" si="5"/>
        <v>US</v>
      </c>
      <c r="L21" s="14" t="str">
        <f t="shared" si="6"/>
        <v>Camping Tent-Coleman</v>
      </c>
      <c r="M21" s="25">
        <f t="shared" si="0"/>
        <v>115</v>
      </c>
      <c r="N21" s="10">
        <f t="shared" si="1"/>
        <v>115</v>
      </c>
      <c r="O21" t="str" cm="1">
        <f t="array" ref="O21">IF(F21="",_xlfn.SWITCH(B21,"Laptop","Electronics", "Backpack","Outdoor","Smartphone","Electronics","Tablet","Electronics", "Headphones","Electronics", "Blender","Kitchen","Coffee Maker","Kitchen","Sneakers","Fashion", "T-shirt","Fashion", "Fitness Tracker","Electronics", "Unknown"),F21)</f>
        <v>Outdoor</v>
      </c>
    </row>
    <row r="22" spans="1:15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13" t="s">
        <v>28</v>
      </c>
      <c r="G22" s="13">
        <f t="shared" si="2"/>
        <v>700</v>
      </c>
      <c r="H22" s="13" t="str" cm="1">
        <f t="array" ref="H22">IF(F22="",
_xlfn.SWITCH(B22,
"Laptop","Electronics",
"Backpack","Outdoor",
"Smartphone","Electronics",
"Tablet","Electronics",
"Headphones","Electronics",
"Blender","Kitchen",
"Coffee Maker","Kitchen",
"Sneakers","Fashion",
"T-shirt","Fashion","Fitness Tracker","Electronics",
"Unknown"),
F22)</f>
        <v>Electronics</v>
      </c>
      <c r="I22" s="13" t="str">
        <f t="shared" si="3"/>
        <v>14-MAY-2025</v>
      </c>
      <c r="J22" s="15">
        <f t="shared" si="4"/>
        <v>45791</v>
      </c>
      <c r="K22" s="13" t="str">
        <f t="shared" si="5"/>
        <v>RU</v>
      </c>
      <c r="L22" s="13" t="str">
        <f t="shared" si="6"/>
        <v>Camera-Nikon</v>
      </c>
      <c r="M22" s="24">
        <f t="shared" si="0"/>
        <v>700</v>
      </c>
      <c r="N22" s="10">
        <f t="shared" si="1"/>
        <v>700</v>
      </c>
      <c r="O22" t="str" cm="1">
        <f t="array" ref="O22">IF(F22="",_xlfn.SWITCH(B22,"Laptop","Electronics", "Backpack","Outdoor","Smartphone","Electronics","Tablet","Electronics", "Headphones","Electronics", "Blender","Kitchen","Coffee Maker","Kitchen","Sneakers","Fashion", "T-shirt","Fashion", "Fitness Tracker","Electronics", "Unknown"),F22)</f>
        <v>Electronics</v>
      </c>
    </row>
    <row r="23" spans="1:15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14" t="s">
        <v>36</v>
      </c>
      <c r="G23" s="14">
        <f t="shared" si="2"/>
        <v>80</v>
      </c>
      <c r="H23" s="14" t="str" cm="1">
        <f t="array" ref="H23">IF(F23="",
_xlfn.SWITCH(B23,
"Laptop","Electronics",
"Backpack","Outdoor",
"Smartphone","Electronics",
"Tablet","Electronics",
"Headphones","Electronics",
"Blender","Kitchen",
"Coffee Maker","Kitchen",
"Sneakers","Fashion",
"T-shirt","Fashion","Fitness Tracker","Electronics",
"Unknown"),
F23)</f>
        <v>Kitchen</v>
      </c>
      <c r="I23" s="13" t="str">
        <f t="shared" si="3"/>
        <v>09-JAN-2025</v>
      </c>
      <c r="J23" s="15">
        <f t="shared" si="4"/>
        <v>45666</v>
      </c>
      <c r="K23" s="13" t="str">
        <f t="shared" si="5"/>
        <v>CA</v>
      </c>
      <c r="L23" s="14" t="str">
        <f t="shared" si="6"/>
        <v>Microwave-Panasonic</v>
      </c>
      <c r="M23" s="25">
        <f t="shared" si="0"/>
        <v>80</v>
      </c>
      <c r="N23" s="10">
        <f t="shared" si="1"/>
        <v>80</v>
      </c>
      <c r="O23" t="str" cm="1">
        <f t="array" ref="O23">IF(F23="",_xlfn.SWITCH(B23,"Laptop","Electronics", "Backpack","Outdoor","Smartphone","Electronics","Tablet","Electronics", "Headphones","Electronics", "Blender","Kitchen","Coffee Maker","Kitchen","Sneakers","Fashion", "T-shirt","Fashion", "Fitness Tracker","Electronics", "Unknown"),F23)</f>
        <v>Kitchen</v>
      </c>
    </row>
    <row r="24" spans="1:15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13"/>
      <c r="G24" s="13">
        <f t="shared" si="2"/>
        <v>150</v>
      </c>
      <c r="H24" s="13" t="str" cm="1">
        <f t="array" ref="H24">IF(F24="",
_xlfn.SWITCH(B24,
"Laptop","Electronics",
"Backpack","Outdoor",
"Smartphone","Electronics",
"Tablet","Electronics",
"Headphones","Electronics",
"Blender","Kitchen",
"Coffee Maker","Kitchen",
"Sneakers","Fashion",
"T-shirt","Fashion","Fitness Tracker","Electronics",
"Unknown"),
F24)</f>
        <v>Electronics</v>
      </c>
      <c r="I24" s="13" t="str">
        <f t="shared" si="3"/>
        <v>19-JUL-2025</v>
      </c>
      <c r="J24" s="15">
        <f t="shared" si="4"/>
        <v>45857</v>
      </c>
      <c r="K24" s="13" t="str">
        <f t="shared" si="5"/>
        <v>BR</v>
      </c>
      <c r="L24" s="13" t="str">
        <f t="shared" si="6"/>
        <v>Fitness Tracker-Xiaomi</v>
      </c>
      <c r="M24" s="24">
        <f t="shared" si="0"/>
        <v>150</v>
      </c>
      <c r="N24" s="10">
        <f t="shared" si="1"/>
        <v>150</v>
      </c>
      <c r="O24" t="str" cm="1">
        <f t="array" ref="O24">IF(F24="",_xlfn.SWITCH(B24,"Laptop","Electronics", "Backpack","Outdoor","Smartphone","Electronics","Tablet","Electronics", "Headphones","Electronics", "Blender","Kitchen","Coffee Maker","Kitchen","Sneakers","Fashion", "T-shirt","Fashion", "Fitness Tracker","Electronics", "Unknown"),F24)</f>
        <v>Electronics</v>
      </c>
    </row>
    <row r="25" spans="1:15" ht="15.75" customHeight="1" x14ac:dyDescent="0.25">
      <c r="A25" s="5" t="s">
        <v>95</v>
      </c>
      <c r="B25" s="5" t="s">
        <v>116</v>
      </c>
      <c r="C25" s="5" t="s">
        <v>97</v>
      </c>
      <c r="D25" s="5">
        <v>800</v>
      </c>
      <c r="E25" s="5">
        <v>45</v>
      </c>
      <c r="F25" s="13" t="s">
        <v>28</v>
      </c>
      <c r="G25" s="13">
        <f t="shared" si="2"/>
        <v>800</v>
      </c>
      <c r="H25" s="13" t="str" cm="1">
        <f t="array" ref="H25">IF(F25="",
_xlfn.SWITCH(B25,
"Laptop","Electronics",
"Backpack","Outdoor",
"Smartphone","Electronics",
"Tablet","Electronics",
"Headphones","Electronics",
"Blender","Kitchen",
"Coffee Maker","Kitchen",
"Sneakers","Fashion",
"T-shirt","Fashion","Fitness Tracker","Electronics",
"Unknown"),
F25)</f>
        <v>Electronics</v>
      </c>
      <c r="I25" s="13" t="str">
        <f t="shared" si="3"/>
        <v>29-SEP-2025</v>
      </c>
      <c r="J25" s="15">
        <f t="shared" si="4"/>
        <v>45929</v>
      </c>
      <c r="K25" s="13" t="str">
        <f t="shared" si="5"/>
        <v>CA</v>
      </c>
      <c r="L25" s="13" t="str">
        <f t="shared" si="6"/>
        <v>Smartphone-Google</v>
      </c>
      <c r="M25" s="24">
        <f t="shared" si="0"/>
        <v>800</v>
      </c>
      <c r="N25" s="10">
        <f t="shared" si="1"/>
        <v>800</v>
      </c>
      <c r="O25" t="str" cm="1">
        <f t="array" ref="O25">IF(F25="",_xlfn.SWITCH(B25,"Laptop","Electronics", "Backpack","Outdoor","Smartphone","Electronics","Tablet","Electronics", "Headphones","Electronics", "Blender","Kitchen","Coffee Maker","Kitchen","Sneakers","Fashion", "T-shirt","Fashion", "Fitness Tracker","Electronics", "Unknown"),F25)</f>
        <v>Electronics</v>
      </c>
    </row>
    <row r="26" spans="1:15" ht="15.75" customHeight="1" x14ac:dyDescent="0.25">
      <c r="A26" s="8" t="s">
        <v>98</v>
      </c>
      <c r="B26" s="8" t="s">
        <v>81</v>
      </c>
      <c r="C26" s="8" t="s">
        <v>99</v>
      </c>
      <c r="D26" s="8"/>
      <c r="E26" s="8">
        <v>25</v>
      </c>
      <c r="F26" s="14" t="s">
        <v>32</v>
      </c>
      <c r="G26" s="14">
        <f t="shared" si="2"/>
        <v>150</v>
      </c>
      <c r="H26" s="14" t="str" cm="1">
        <f t="array" ref="H26">IF(F26="",
_xlfn.SWITCH(B26,
"Laptop","Electronics",
"Backpack","Outdoor",
"Smartphone","Electronics",
"Tablet","Electronics",
"Headphones","Electronics",
"Blender","Kitchen",
"Coffee Maker","Kitchen",
"Sneakers","Fashion",
"T-shirt","Fashion","Fitness Tracker","Electronics",
"Unknown"),
F26)</f>
        <v>Fashion</v>
      </c>
      <c r="I26" s="13" t="str">
        <f t="shared" si="3"/>
        <v>03-JUN-2025</v>
      </c>
      <c r="J26" s="15">
        <f t="shared" si="4"/>
        <v>45811</v>
      </c>
      <c r="K26" s="13" t="str">
        <f t="shared" si="5"/>
        <v>CA</v>
      </c>
      <c r="L26" s="14" t="str">
        <f t="shared" si="6"/>
        <v>Sunglasses-Ray-Ban</v>
      </c>
      <c r="M26" s="25">
        <f t="shared" si="0"/>
        <v>150</v>
      </c>
      <c r="N26" s="10">
        <f t="shared" si="1"/>
        <v>150</v>
      </c>
      <c r="O26" t="str" cm="1">
        <f t="array" ref="O26">IF(F26="",_xlfn.SWITCH(B26,"Laptop","Electronics", "Backpack","Outdoor","Smartphone","Electronics","Tablet","Electronics", "Headphones","Electronics", "Blender","Kitchen","Coffee Maker","Kitchen","Sneakers","Fashion", "T-shirt","Fashion", "Fitness Tracker","Electronics", "Unknown"),F26)</f>
        <v>Fashion</v>
      </c>
    </row>
    <row r="27" spans="1:15" ht="15.75" customHeight="1" x14ac:dyDescent="0.25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13" t="s">
        <v>36</v>
      </c>
      <c r="G27" s="13">
        <f t="shared" si="2"/>
        <v>400</v>
      </c>
      <c r="H27" s="13" t="str" cm="1">
        <f t="array" ref="H27">IF(F27="",
_xlfn.SWITCH(B27,
"Laptop","Electronics",
"Backpack","Outdoor",
"Smartphone","Electronics",
"Tablet","Electronics",
"Headphones","Electronics",
"Blender","Kitchen",
"Coffee Maker","Kitchen",
"Sneakers","Fashion",
"T-shirt","Fashion","Fitness Tracker","Electronics",
"Unknown"),
F27)</f>
        <v>Kitchen</v>
      </c>
      <c r="I27" s="13" t="str">
        <f t="shared" si="3"/>
        <v>11-JUL-2025</v>
      </c>
      <c r="J27" s="15">
        <f t="shared" si="4"/>
        <v>45849</v>
      </c>
      <c r="K27" s="13" t="str">
        <f t="shared" si="5"/>
        <v>CA</v>
      </c>
      <c r="L27" s="13" t="str">
        <f t="shared" si="6"/>
        <v>Blender-Vitamix</v>
      </c>
      <c r="M27" s="24">
        <f t="shared" si="0"/>
        <v>400</v>
      </c>
      <c r="N27" s="10">
        <f t="shared" si="1"/>
        <v>400</v>
      </c>
      <c r="O27" t="str" cm="1">
        <f t="array" ref="O27">IF(F27="",_xlfn.SWITCH(B27,"Laptop","Electronics", "Backpack","Outdoor","Smartphone","Electronics","Tablet","Electronics", "Headphones","Electronics", "Blender","Kitchen","Coffee Maker","Kitchen","Sneakers","Fashion", "T-shirt","Fashion", "Fitness Tracker","Electronics", "Unknown"),F27)</f>
        <v>Kitchen</v>
      </c>
    </row>
    <row r="28" spans="1:15" ht="15.75" customHeight="1" x14ac:dyDescent="0.25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13" t="s">
        <v>32</v>
      </c>
      <c r="G28" s="13">
        <f t="shared" si="2"/>
        <v>60</v>
      </c>
      <c r="H28" s="13" t="str" cm="1">
        <f t="array" ref="H28">IF(F28="",
_xlfn.SWITCH(B28,
"Laptop","Electronics",
"Backpack","Outdoor",
"Smartphone","Electronics",
"Tablet","Electronics",
"Headphones","Electronics",
"Blender","Kitchen",
"Coffee Maker","Kitchen",
"Sneakers","Fashion",
"T-shirt","Fashion","Fitness Tracker","Electronics",
"Unknown"),
F28)</f>
        <v>Fashion</v>
      </c>
      <c r="I28" s="13" t="str">
        <f t="shared" si="3"/>
        <v>07-MAR-2025</v>
      </c>
      <c r="J28" s="15">
        <f t="shared" si="4"/>
        <v>45723</v>
      </c>
      <c r="K28" s="13" t="str">
        <f t="shared" si="5"/>
        <v>CA</v>
      </c>
      <c r="L28" s="13" t="str">
        <f t="shared" si="6"/>
        <v>Dress-Zara</v>
      </c>
      <c r="M28" s="24">
        <f t="shared" si="0"/>
        <v>60</v>
      </c>
      <c r="N28" s="10">
        <f t="shared" si="1"/>
        <v>60</v>
      </c>
      <c r="O28" t="str" cm="1">
        <f t="array" ref="O28">IF(F28="",_xlfn.SWITCH(B28,"Laptop","Electronics", "Backpack","Outdoor","Smartphone","Electronics","Tablet","Electronics", "Headphones","Electronics", "Blender","Kitchen","Coffee Maker","Kitchen","Sneakers","Fashion", "T-shirt","Fashion", "Fitness Tracker","Electronics", "Unknown"),F28)</f>
        <v>Fashion</v>
      </c>
    </row>
    <row r="29" spans="1:15" ht="15.75" customHeight="1" x14ac:dyDescent="0.25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14" t="s">
        <v>36</v>
      </c>
      <c r="G29" s="14">
        <f t="shared" si="2"/>
        <v>40</v>
      </c>
      <c r="H29" s="14" t="str" cm="1">
        <f t="array" ref="H29">IF(F29="",
_xlfn.SWITCH(B29,
"Laptop","Electronics",
"Backpack","Outdoor",
"Smartphone","Electronics",
"Tablet","Electronics",
"Headphones","Electronics",
"Blender","Kitchen",
"Coffee Maker","Kitchen",
"Sneakers","Fashion",
"T-shirt","Fashion","Fitness Tracker","Electronics",
"Unknown"),
F29)</f>
        <v>Kitchen</v>
      </c>
      <c r="I29" s="13" t="str">
        <f t="shared" si="3"/>
        <v>13-APR-2025</v>
      </c>
      <c r="J29" s="15">
        <f t="shared" si="4"/>
        <v>45760</v>
      </c>
      <c r="K29" s="13" t="str">
        <f t="shared" si="5"/>
        <v>CA</v>
      </c>
      <c r="L29" s="14" t="str">
        <f t="shared" si="6"/>
        <v>Toaster-Hamilton</v>
      </c>
      <c r="M29" s="25">
        <f t="shared" si="0"/>
        <v>40</v>
      </c>
      <c r="N29" s="10">
        <f t="shared" si="1"/>
        <v>40</v>
      </c>
      <c r="O29" t="str" cm="1">
        <f t="array" ref="O29">IF(F29="",_xlfn.SWITCH(B29,"Laptop","Electronics", "Backpack","Outdoor","Smartphone","Electronics","Tablet","Electronics", "Headphones","Electronics", "Blender","Kitchen","Coffee Maker","Kitchen","Sneakers","Fashion", "T-shirt","Fashion", "Fitness Tracker","Electronics", "Unknown"),F29)</f>
        <v>Kitchen</v>
      </c>
    </row>
    <row r="30" spans="1:15" ht="15.75" customHeight="1" x14ac:dyDescent="0.25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13" t="s">
        <v>28</v>
      </c>
      <c r="G30" s="13">
        <f t="shared" si="2"/>
        <v>130</v>
      </c>
      <c r="H30" s="13" t="str" cm="1">
        <f t="array" ref="H30">IF(F30="",
_xlfn.SWITCH(B30,
"Laptop","Electronics",
"Backpack","Outdoor",
"Smartphone","Electronics",
"Tablet","Electronics",
"Headphones","Electronics",
"Blender","Kitchen",
"Coffee Maker","Kitchen",
"Sneakers","Fashion",
"T-shirt","Fashion","Fitness Tracker","Electronics",
"Unknown"),
F30)</f>
        <v>Electronics</v>
      </c>
      <c r="I30" s="13" t="str">
        <f t="shared" si="3"/>
        <v>24-MAY-2025</v>
      </c>
      <c r="J30" s="15">
        <f t="shared" si="4"/>
        <v>45801</v>
      </c>
      <c r="K30" s="13" t="str">
        <f t="shared" si="5"/>
        <v>CA</v>
      </c>
      <c r="L30" s="13" t="str">
        <f t="shared" si="6"/>
        <v>Fitness Tracker-Garmin</v>
      </c>
      <c r="M30" s="24">
        <f t="shared" si="0"/>
        <v>130</v>
      </c>
      <c r="N30" s="10">
        <f t="shared" si="1"/>
        <v>130</v>
      </c>
      <c r="O30" t="str" cm="1">
        <f t="array" ref="O30">IF(F30="",_xlfn.SWITCH(B30,"Laptop","Electronics", "Backpack","Outdoor","Smartphone","Electronics","Tablet","Electronics", "Headphones","Electronics", "Blender","Kitchen","Coffee Maker","Kitchen","Sneakers","Fashion", "T-shirt","Fashion", "Fitness Tracker","Electronics", "Unknown"),F30)</f>
        <v>Electronics</v>
      </c>
    </row>
    <row r="31" spans="1:15" ht="15.75" customHeight="1" x14ac:dyDescent="0.25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14" t="s">
        <v>32</v>
      </c>
      <c r="G31" s="14">
        <f t="shared" si="2"/>
        <v>50</v>
      </c>
      <c r="H31" s="14" t="str" cm="1">
        <f t="array" ref="H31">IF(F31="",
_xlfn.SWITCH(B31,
"Laptop","Electronics",
"Backpack","Outdoor",
"Smartphone","Electronics",
"Tablet","Electronics",
"Headphones","Electronics",
"Blender","Kitchen",
"Coffee Maker","Kitchen",
"Sneakers","Fashion",
"T-shirt","Fashion","Fitness Tracker","Electronics",
"Unknown"),
F31)</f>
        <v>Fashion</v>
      </c>
      <c r="I31" s="13" t="str">
        <f t="shared" si="3"/>
        <v>02-DEC-2025</v>
      </c>
      <c r="J31" s="15">
        <f t="shared" si="4"/>
        <v>45993</v>
      </c>
      <c r="K31" s="13" t="str">
        <f t="shared" si="5"/>
        <v>CA</v>
      </c>
      <c r="L31" s="14" t="str">
        <f t="shared" si="6"/>
        <v>Jeans-Levi'S</v>
      </c>
      <c r="M31" s="25">
        <f t="shared" si="0"/>
        <v>50</v>
      </c>
      <c r="N31" s="10">
        <f t="shared" si="1"/>
        <v>50</v>
      </c>
      <c r="O31" t="str" cm="1">
        <f t="array" ref="O31">IF(F31="",_xlfn.SWITCH(B31,"Laptop","Electronics", "Backpack","Outdoor","Smartphone","Electronics","Tablet","Electronics", "Headphones","Electronics", "Blender","Kitchen","Coffee Maker","Kitchen","Sneakers","Fashion", "T-shirt","Fashion", "Fitness Tracker","Electronics", "Unknown"),F31)</f>
        <v>Fashion</v>
      </c>
    </row>
    <row r="32" spans="1:15" ht="15.75" customHeight="1" x14ac:dyDescent="0.25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14" t="s">
        <v>75</v>
      </c>
      <c r="G32" s="14">
        <f t="shared" si="2"/>
        <v>100</v>
      </c>
      <c r="H32" s="14" t="str" cm="1">
        <f t="array" ref="H32">IF(F32="",
_xlfn.SWITCH(B32,
"Laptop","Electronics",
"Backpack","Outdoor",
"Smartphone","Electronics",
"Tablet","Electronics",
"Headphones","Electronics",
"Blender","Kitchen",
"Coffee Maker","Kitchen",
"Sneakers","Fashion",
"T-shirt","Fashion","Fitness Tracker","Electronics",
"Unknown"),
F32)</f>
        <v>Accessories</v>
      </c>
      <c r="I32" s="13" t="str">
        <f t="shared" si="3"/>
        <v>09-JUL-2025</v>
      </c>
      <c r="J32" s="15">
        <f t="shared" si="4"/>
        <v>45847</v>
      </c>
      <c r="K32" s="13" t="str">
        <f t="shared" si="5"/>
        <v>FR</v>
      </c>
      <c r="L32" s="14" t="str">
        <f t="shared" si="6"/>
        <v>Watch-Casio</v>
      </c>
      <c r="M32" s="25">
        <f t="shared" si="0"/>
        <v>100</v>
      </c>
      <c r="N32" s="10">
        <f t="shared" si="1"/>
        <v>100</v>
      </c>
      <c r="O32" t="str" cm="1">
        <f t="array" ref="O32">IF(F32="",_xlfn.SWITCH(B32,"Laptop","Electronics", "Backpack","Outdoor","Smartphone","Electronics","Tablet","Electronics", "Headphones","Electronics", "Blender","Kitchen","Coffee Maker","Kitchen","Sneakers","Fashion", "T-shirt","Fashion", "Fitness Tracker","Electronics", "Unknown"),F32)</f>
        <v>Accessories</v>
      </c>
    </row>
    <row r="33" spans="7:7" ht="15.75" customHeight="1" x14ac:dyDescent="0.25">
      <c r="G33" s="5"/>
    </row>
    <row r="34" spans="7:7" ht="15.75" customHeight="1" x14ac:dyDescent="0.25">
      <c r="G34" s="5"/>
    </row>
    <row r="35" spans="7:7" ht="15.75" customHeight="1" x14ac:dyDescent="0.25">
      <c r="G35" s="5"/>
    </row>
    <row r="36" spans="7:7" ht="15.75" customHeight="1" x14ac:dyDescent="0.25"/>
    <row r="37" spans="7:7" ht="15.75" customHeight="1" x14ac:dyDescent="0.25"/>
    <row r="38" spans="7:7" ht="15.75" customHeight="1" x14ac:dyDescent="0.25"/>
    <row r="39" spans="7:7" ht="15.75" customHeight="1" x14ac:dyDescent="0.25"/>
    <row r="40" spans="7:7" ht="15.75" customHeight="1" x14ac:dyDescent="0.25"/>
    <row r="41" spans="7:7" ht="15.75" customHeight="1" x14ac:dyDescent="0.25"/>
    <row r="42" spans="7:7" ht="15.75" customHeight="1" x14ac:dyDescent="0.25"/>
    <row r="43" spans="7:7" ht="15.75" customHeight="1" x14ac:dyDescent="0.25"/>
    <row r="44" spans="7:7" ht="15.75" customHeight="1" x14ac:dyDescent="0.25"/>
    <row r="45" spans="7:7" ht="15.75" customHeight="1" x14ac:dyDescent="0.25"/>
    <row r="46" spans="7:7" ht="15.75" customHeight="1" x14ac:dyDescent="0.25"/>
    <row r="47" spans="7:7" ht="15.75" customHeight="1" x14ac:dyDescent="0.25"/>
    <row r="48" spans="7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N2:N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{2F15FD28-2DA0-4830-B933-0079990FAFF4}</x14:id>
        </ext>
      </extLst>
    </cfRule>
    <cfRule type="colorScale" priority="4">
      <colorScale>
        <cfvo type="min"/>
        <cfvo type="max"/>
        <color theme="6" tint="0.39997558519241921"/>
        <color rgb="FFFFEF9C"/>
      </colorScale>
    </cfRule>
  </conditionalFormatting>
  <conditionalFormatting sqref="O2:O32">
    <cfRule type="cellIs" dxfId="0" priority="1" operator="equal">
      <formula>"Electronics"</formula>
    </cfRule>
  </conditionalFormatting>
  <pageMargins left="0.7" right="0.7" top="0.75" bottom="0.75" header="0.3" footer="0.3"/>
  <ignoredErrors>
    <ignoredError sqref="G2:G32 M2:M32 N2:N32 O6:O14 O24 H6:H24" emptyCellReferenc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15FD28-2DA0-4830-B933-0079990FA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iconSet" priority="5" id="{01370E88-ECF1-468D-B47C-B9A289180CC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N2:N32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F28" sqref="F28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9" workbookViewId="0">
      <selection activeCell="C20" sqref="C2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9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 Cleaned</vt:lpstr>
      <vt:lpstr>Dataset Worked</vt:lpstr>
      <vt:lpstr>Dataset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ROJER THE EDITOO</dc:creator>
  <cp:lastModifiedBy>ROJER THE EDITOO</cp:lastModifiedBy>
  <dcterms:created xsi:type="dcterms:W3CDTF">2026-01-11T22:43:14Z</dcterms:created>
  <dcterms:modified xsi:type="dcterms:W3CDTF">2026-01-11T22:49:55Z</dcterms:modified>
</cp:coreProperties>
</file>